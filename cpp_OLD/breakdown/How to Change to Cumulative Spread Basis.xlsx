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/>
  <mc:AlternateContent xmlns:mc="http://schemas.openxmlformats.org/markup-compatibility/2006">
    <mc:Choice Requires="x15">
      <x15ac:absPath xmlns:x15ac="http://schemas.microsoft.com/office/spreadsheetml/2010/11/ac" url="C:\Users\tsciple\cpp\cpp\breakdown\"/>
    </mc:Choice>
  </mc:AlternateContent>
  <xr:revisionPtr revIDLastSave="0" documentId="13_ncr:1_{2DD01D4B-9D7C-4D07-B991-54F39DF5CA58}" xr6:coauthVersionLast="36" xr6:coauthVersionMax="47" xr10:uidLastSave="{00000000-0000-0000-0000-000000000000}"/>
  <bookViews>
    <workbookView xWindow="33975" yWindow="555" windowWidth="22680" windowHeight="14445" xr2:uid="{DCB5B4BA-F6A2-4B20-A76C-F34DF5B3300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4" i="1" l="1"/>
  <c r="E16" i="1"/>
  <c r="E17" i="1"/>
  <c r="E19" i="1" l="1"/>
  <c r="E25" i="1" s="1"/>
  <c r="E26" i="1"/>
</calcChain>
</file>

<file path=xl/sharedStrings.xml><?xml version="1.0" encoding="utf-8"?>
<sst xmlns="http://schemas.openxmlformats.org/spreadsheetml/2006/main" count="40" uniqueCount="33">
  <si>
    <t>How to Spread including Cumultive Spread Amounts</t>
  </si>
  <si>
    <t>amt_to_spr_l</t>
  </si>
  <si>
    <t>base Lab Amt</t>
  </si>
  <si>
    <t>=</t>
  </si>
  <si>
    <t>Item 2</t>
  </si>
  <si>
    <t>Item 3</t>
  </si>
  <si>
    <t>Fraction</t>
  </si>
  <si>
    <t>Item 1</t>
  </si>
  <si>
    <t>x</t>
  </si>
  <si>
    <t>Fract 3</t>
  </si>
  <si>
    <t>&lt;-----</t>
  </si>
  <si>
    <t>Revise so it includes Cumulative Amounts</t>
  </si>
  <si>
    <t>compute_amt_to_spread_aggregates</t>
  </si>
  <si>
    <t>compute_spread_basis_aggregates</t>
  </si>
  <si>
    <t>compute_spread_amounts</t>
  </si>
  <si>
    <t>incl_cumul_sprd_values_list</t>
  </si>
  <si>
    <t>1,2</t>
  </si>
  <si>
    <t>sprd_order</t>
  </si>
  <si>
    <t>Lets look at Spread COP</t>
  </si>
  <si>
    <t>Spread Aggregate Amount</t>
  </si>
  <si>
    <t>Calc Spread Amount</t>
  </si>
  <si>
    <t>1. wt_omh</t>
  </si>
  <si>
    <t>2. wt_mh</t>
  </si>
  <si>
    <t>3. wt_l</t>
  </si>
  <si>
    <t>4. wt_m</t>
  </si>
  <si>
    <t>5. wt_s</t>
  </si>
  <si>
    <t>6. wt_e</t>
  </si>
  <si>
    <t>Start index based loop from 1 to num_sprds</t>
  </si>
  <si>
    <t>Current Method</t>
  </si>
  <si>
    <t>1.</t>
  </si>
  <si>
    <t>ref</t>
  </si>
  <si>
    <t>Revised Method</t>
  </si>
  <si>
    <t>If the number is in the field 'incl_cumul_sprd_values_list' then loop upv vector and add the base labor amount plus the spread amount in the corresponding index in the main loop. This intermediate value will be stored in a new vector contained in the upv array named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</si>
</sst>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56"/>
      <name val="Arial"/>
      <family val="2"/>
    </font>
    <font>
      <b/>
      <sz val="10"/>
      <color theme="0"/>
      <name val="Arial"/>
      <family val="2"/>
    </font>
    <font>
      <b/>
      <sz val="16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medium">
        <color theme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4" fontId="3" fillId="0" borderId="0">
      <alignment horizontal="center"/>
    </xf>
    <xf numFmtId="0" fontId="1" fillId="0" borderId="0"/>
  </cellStyleXfs>
  <cellXfs count="28">
    <xf numFmtId="0" fontId="0" fillId="0" borderId="0" xfId="0"/>
    <xf numFmtId="0" fontId="2" fillId="0" borderId="0" xfId="0" applyFont="1"/>
    <xf numFmtId="43" fontId="0" fillId="0" borderId="0" xfId="1" applyFont="1"/>
    <xf numFmtId="0" fontId="0" fillId="0" borderId="0" xfId="0" quotePrefix="1"/>
    <xf numFmtId="0" fontId="0" fillId="0" borderId="1" xfId="0" quotePrefix="1" applyBorder="1" applyAlignment="1">
      <alignment horizontal="center"/>
    </xf>
    <xf numFmtId="0" fontId="0" fillId="0" borderId="0" xfId="0" applyAlignment="1">
      <alignment horizontal="center"/>
    </xf>
    <xf numFmtId="43" fontId="0" fillId="0" borderId="0" xfId="0" applyNumberFormat="1"/>
    <xf numFmtId="164" fontId="0" fillId="0" borderId="0" xfId="0" applyNumberFormat="1"/>
    <xf numFmtId="164" fontId="0" fillId="0" borderId="1" xfId="0" applyNumberFormat="1" applyBorder="1"/>
    <xf numFmtId="2" fontId="0" fillId="0" borderId="0" xfId="0" applyNumberFormat="1"/>
    <xf numFmtId="43" fontId="0" fillId="2" borderId="0" xfId="1" applyFont="1" applyFill="1"/>
    <xf numFmtId="0" fontId="0" fillId="2" borderId="0" xfId="0" applyFill="1"/>
    <xf numFmtId="0" fontId="0" fillId="2" borderId="0" xfId="0" quotePrefix="1" applyFill="1"/>
    <xf numFmtId="0" fontId="0" fillId="2" borderId="1" xfId="0" quotePrefix="1" applyFill="1" applyBorder="1" applyAlignment="1">
      <alignment horizontal="center"/>
    </xf>
    <xf numFmtId="14" fontId="4" fillId="3" borderId="2" xfId="2" applyFont="1" applyFill="1" applyBorder="1" applyAlignment="1">
      <alignment horizontal="center" vertical="top" wrapText="1"/>
    </xf>
    <xf numFmtId="0" fontId="1" fillId="4" borderId="3" xfId="3" applyFill="1" applyBorder="1" applyAlignment="1">
      <alignment horizontal="center"/>
    </xf>
    <xf numFmtId="0" fontId="1" fillId="0" borderId="3" xfId="3" applyBorder="1" applyAlignment="1">
      <alignment horizontal="center"/>
    </xf>
    <xf numFmtId="0" fontId="1" fillId="4" borderId="4" xfId="3" applyFill="1" applyBorder="1" applyAlignment="1">
      <alignment horizontal="center"/>
    </xf>
    <xf numFmtId="14" fontId="4" fillId="3" borderId="5" xfId="2" applyFont="1" applyFill="1" applyBorder="1" applyAlignment="1">
      <alignment horizontal="center" vertical="top" wrapText="1"/>
    </xf>
    <xf numFmtId="0" fontId="1" fillId="4" borderId="3" xfId="3" applyFill="1" applyBorder="1"/>
    <xf numFmtId="0" fontId="1" fillId="0" borderId="3" xfId="3" applyBorder="1"/>
    <xf numFmtId="0" fontId="1" fillId="4" borderId="4" xfId="3" applyFill="1" applyBorder="1"/>
    <xf numFmtId="0" fontId="5" fillId="0" borderId="0" xfId="0" applyFont="1"/>
    <xf numFmtId="0" fontId="6" fillId="0" borderId="0" xfId="0" applyFont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2"/>
    </xf>
    <xf numFmtId="0" fontId="6" fillId="0" borderId="0" xfId="0" quotePrefix="1" applyFont="1"/>
  </cellXfs>
  <cellStyles count="4">
    <cellStyle name="Comma" xfId="1" builtinId="3"/>
    <cellStyle name="Normal" xfId="0" builtinId="0"/>
    <cellStyle name="Normal 12" xfId="3" xr:uid="{45FE1C74-782D-4465-861F-3DB0FF93AF8C}"/>
    <cellStyle name="Normal 2" xfId="2" xr:uid="{FA3A7CBF-BB9A-4993-B7CE-7988484027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83467-5D86-4F19-B107-2B507E9562A6}">
  <dimension ref="A1:I48"/>
  <sheetViews>
    <sheetView tabSelected="1" workbookViewId="0">
      <selection activeCell="B31" sqref="B31"/>
    </sheetView>
  </sheetViews>
  <sheetFormatPr defaultRowHeight="14.25"/>
  <cols>
    <col min="1" max="1" width="5.375" customWidth="1"/>
    <col min="2" max="2" width="22.625" bestFit="1" customWidth="1"/>
    <col min="3" max="3" width="11.5" bestFit="1" customWidth="1"/>
    <col min="4" max="4" width="9" style="5"/>
    <col min="5" max="5" width="11.625" customWidth="1"/>
    <col min="7" max="7" width="38.25" bestFit="1" customWidth="1"/>
    <col min="9" max="9" width="35.375" customWidth="1"/>
  </cols>
  <sheetData>
    <row r="1" spans="1:9" ht="20.25">
      <c r="A1" s="22" t="s">
        <v>0</v>
      </c>
    </row>
    <row r="3" spans="1:9">
      <c r="A3" t="s">
        <v>30</v>
      </c>
    </row>
    <row r="4" spans="1:9" ht="15">
      <c r="A4" s="27" t="s">
        <v>29</v>
      </c>
      <c r="B4" t="s">
        <v>28</v>
      </c>
    </row>
    <row r="6" spans="1:9">
      <c r="A6" s="3">
        <v>1.1000000000000001</v>
      </c>
      <c r="B6" t="s">
        <v>2</v>
      </c>
      <c r="D6" s="5" t="s">
        <v>3</v>
      </c>
      <c r="E6">
        <v>1520</v>
      </c>
    </row>
    <row r="8" spans="1:9">
      <c r="A8" s="3">
        <v>1.2</v>
      </c>
      <c r="B8" t="s">
        <v>18</v>
      </c>
      <c r="C8" t="s">
        <v>1</v>
      </c>
      <c r="D8" s="5" t="s">
        <v>3</v>
      </c>
      <c r="E8" s="2">
        <v>37376.857600000003</v>
      </c>
    </row>
    <row r="9" spans="1:9" ht="15">
      <c r="I9" s="1" t="s">
        <v>12</v>
      </c>
    </row>
    <row r="11" spans="1:9" ht="15">
      <c r="A11" s="3">
        <v>1.3</v>
      </c>
      <c r="B11" t="s">
        <v>19</v>
      </c>
      <c r="E11" s="10">
        <v>84510.510000000009</v>
      </c>
      <c r="F11" s="12" t="s">
        <v>10</v>
      </c>
      <c r="G11" s="11" t="s">
        <v>11</v>
      </c>
      <c r="I11" s="1" t="s">
        <v>13</v>
      </c>
    </row>
    <row r="13" spans="1:9" ht="15" thickBot="1">
      <c r="C13" t="s">
        <v>6</v>
      </c>
      <c r="D13" s="5" t="s">
        <v>3</v>
      </c>
      <c r="E13" s="4" t="s">
        <v>7</v>
      </c>
    </row>
    <row r="14" spans="1:9" ht="15">
      <c r="C14" s="1"/>
      <c r="E14" s="5" t="s">
        <v>5</v>
      </c>
    </row>
    <row r="16" spans="1:9" ht="15.75" thickBot="1">
      <c r="D16" s="5" t="s">
        <v>3</v>
      </c>
      <c r="E16" s="13">
        <f>E6</f>
        <v>1520</v>
      </c>
      <c r="F16" s="12" t="s">
        <v>10</v>
      </c>
      <c r="G16" s="11" t="s">
        <v>11</v>
      </c>
      <c r="I16" s="1" t="s">
        <v>14</v>
      </c>
    </row>
    <row r="17" spans="1:5">
      <c r="E17" s="6">
        <f>E11</f>
        <v>84510.510000000009</v>
      </c>
    </row>
    <row r="19" spans="1:5">
      <c r="D19" s="5" t="s">
        <v>3</v>
      </c>
      <c r="E19" s="7">
        <f>E16/E17</f>
        <v>1.7985928614085985E-2</v>
      </c>
    </row>
    <row r="21" spans="1:5" ht="15" thickBot="1">
      <c r="A21" s="3">
        <v>1.4</v>
      </c>
      <c r="B21" t="s">
        <v>20</v>
      </c>
      <c r="E21" s="4" t="s">
        <v>4</v>
      </c>
    </row>
    <row r="22" spans="1:5">
      <c r="D22" s="5" t="s">
        <v>8</v>
      </c>
      <c r="E22" s="5" t="s">
        <v>9</v>
      </c>
    </row>
    <row r="24" spans="1:5">
      <c r="E24" s="6">
        <f>E8</f>
        <v>37376.857600000003</v>
      </c>
    </row>
    <row r="25" spans="1:5" ht="15" thickBot="1">
      <c r="D25" s="24" t="s">
        <v>8</v>
      </c>
      <c r="E25" s="8">
        <f>E19</f>
        <v>1.7985928614085985E-2</v>
      </c>
    </row>
    <row r="26" spans="1:5">
      <c r="E26" s="9">
        <f>E24*E25</f>
        <v>672.25749261245733</v>
      </c>
    </row>
    <row r="29" spans="1:5" ht="15">
      <c r="A29" s="23">
        <v>2</v>
      </c>
      <c r="B29" t="s">
        <v>31</v>
      </c>
    </row>
    <row r="30" spans="1:5" ht="15">
      <c r="A30">
        <v>2.1</v>
      </c>
      <c r="B30" s="25" t="s">
        <v>27</v>
      </c>
    </row>
    <row r="31" spans="1:5" ht="15">
      <c r="A31">
        <v>2.2000000000000002</v>
      </c>
      <c r="B31" s="25" t="s">
        <v>32</v>
      </c>
    </row>
    <row r="32" spans="1:5" ht="15">
      <c r="B32" s="26" t="s">
        <v>21</v>
      </c>
    </row>
    <row r="33" spans="1:3" ht="15">
      <c r="B33" s="26" t="s">
        <v>22</v>
      </c>
    </row>
    <row r="34" spans="1:3" ht="15">
      <c r="B34" s="26" t="s">
        <v>23</v>
      </c>
    </row>
    <row r="35" spans="1:3" ht="15">
      <c r="B35" s="26" t="s">
        <v>24</v>
      </c>
    </row>
    <row r="36" spans="1:3" ht="15">
      <c r="B36" s="26" t="s">
        <v>25</v>
      </c>
    </row>
    <row r="37" spans="1:3" ht="15">
      <c r="B37" s="26" t="s">
        <v>26</v>
      </c>
    </row>
    <row r="38" spans="1:3" ht="15">
      <c r="A38" s="23"/>
    </row>
    <row r="39" spans="1:3" ht="15">
      <c r="A39" s="23"/>
    </row>
    <row r="40" spans="1:3" ht="15">
      <c r="A40" s="23"/>
    </row>
    <row r="41" spans="1:3" ht="15">
      <c r="A41" s="23"/>
    </row>
    <row r="42" spans="1:3" ht="15.75" thickBot="1">
      <c r="A42" s="1"/>
    </row>
    <row r="43" spans="1:3" ht="39" thickBot="1">
      <c r="B43" s="18" t="s">
        <v>17</v>
      </c>
      <c r="C43" s="14" t="s">
        <v>15</v>
      </c>
    </row>
    <row r="44" spans="1:3">
      <c r="B44" s="19">
        <v>1</v>
      </c>
      <c r="C44" s="15"/>
    </row>
    <row r="45" spans="1:3">
      <c r="B45" s="20">
        <v>2</v>
      </c>
      <c r="C45" s="16">
        <v>1</v>
      </c>
    </row>
    <row r="46" spans="1:3">
      <c r="B46" s="19">
        <v>3</v>
      </c>
      <c r="C46" s="15" t="s">
        <v>16</v>
      </c>
    </row>
    <row r="47" spans="1:3">
      <c r="B47" s="20">
        <v>4</v>
      </c>
      <c r="C47" s="16"/>
    </row>
    <row r="48" spans="1:3" ht="15" thickBot="1">
      <c r="B48" s="21">
        <v>5</v>
      </c>
      <c r="C48" s="17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B75D8-9DF5-4A78-9D78-718FD7386FAE}">
  <dimension ref="A1"/>
  <sheetViews>
    <sheetView workbookViewId="0">
      <selection activeCell="C1" sqref="C1:C1048576"/>
    </sheetView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Sciple</dc:creator>
  <cp:lastModifiedBy>Tony Sciple</cp:lastModifiedBy>
  <dcterms:created xsi:type="dcterms:W3CDTF">2024-07-14T21:07:07Z</dcterms:created>
  <dcterms:modified xsi:type="dcterms:W3CDTF">2024-07-15T14:03:17Z</dcterms:modified>
</cp:coreProperties>
</file>