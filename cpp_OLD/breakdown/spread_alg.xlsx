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ciple\cpp\cpp\breakdown\"/>
    </mc:Choice>
  </mc:AlternateContent>
  <xr:revisionPtr revIDLastSave="0" documentId="13_ncr:1_{68AF824C-0649-483D-9535-B296C27E79ED}" xr6:coauthVersionLast="36" xr6:coauthVersionMax="47" xr10:uidLastSave="{00000000-0000-0000-0000-000000000000}"/>
  <bookViews>
    <workbookView xWindow="28620" yWindow="0" windowWidth="22680" windowHeight="14445" xr2:uid="{B7FA1170-DD9D-493B-A2D3-6D9CE8344E5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7" i="1" l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Q36" i="1"/>
  <c r="Q35" i="1"/>
  <c r="Q34" i="1"/>
  <c r="Q33" i="1"/>
  <c r="S37" i="1"/>
  <c r="R37" i="1"/>
  <c r="Q37" i="1"/>
  <c r="S36" i="1"/>
  <c r="R36" i="1"/>
  <c r="S35" i="1"/>
  <c r="R35" i="1"/>
  <c r="S34" i="1"/>
  <c r="R34" i="1"/>
  <c r="S33" i="1"/>
  <c r="R33" i="1"/>
  <c r="P37" i="1"/>
  <c r="P36" i="1"/>
  <c r="P35" i="1"/>
  <c r="P34" i="1"/>
  <c r="P33" i="1"/>
  <c r="O37" i="1"/>
  <c r="N37" i="1"/>
  <c r="M37" i="1"/>
  <c r="L37" i="1"/>
  <c r="K37" i="1"/>
  <c r="O36" i="1"/>
  <c r="N36" i="1"/>
  <c r="M36" i="1"/>
  <c r="L36" i="1"/>
  <c r="K36" i="1"/>
  <c r="O35" i="1"/>
  <c r="N35" i="1"/>
  <c r="M35" i="1"/>
  <c r="L35" i="1"/>
  <c r="K35" i="1"/>
  <c r="O34" i="1"/>
  <c r="N34" i="1"/>
  <c r="M34" i="1"/>
  <c r="L34" i="1"/>
  <c r="K34" i="1"/>
  <c r="O33" i="1"/>
  <c r="N33" i="1"/>
  <c r="M33" i="1"/>
  <c r="L33" i="1"/>
  <c r="K33" i="1"/>
  <c r="Q18" i="1" l="1"/>
  <c r="Q17" i="1"/>
  <c r="Q16" i="1"/>
  <c r="Q15" i="1"/>
  <c r="Q14" i="1"/>
  <c r="P16" i="1"/>
  <c r="P15" i="1"/>
  <c r="P14" i="1"/>
  <c r="O18" i="1"/>
  <c r="O17" i="1"/>
  <c r="O16" i="1"/>
  <c r="Q11" i="1"/>
  <c r="P11" i="1"/>
  <c r="P18" i="1" s="1"/>
  <c r="O11" i="1"/>
  <c r="O15" i="1" s="1"/>
  <c r="P17" i="1" l="1"/>
  <c r="O14" i="1"/>
</calcChain>
</file>

<file path=xl/sharedStrings.xml><?xml version="1.0" encoding="utf-8"?>
<sst xmlns="http://schemas.openxmlformats.org/spreadsheetml/2006/main" count="140" uniqueCount="61">
  <si>
    <t>row_id</t>
  </si>
  <si>
    <t>desc</t>
  </si>
  <si>
    <t>cost</t>
  </si>
  <si>
    <t>cost_type</t>
  </si>
  <si>
    <t>div</t>
  </si>
  <si>
    <t>discipline</t>
  </si>
  <si>
    <t>lab_type</t>
  </si>
  <si>
    <t>pipe weld 3in s-80</t>
  </si>
  <si>
    <t>L</t>
  </si>
  <si>
    <t>MechFld</t>
  </si>
  <si>
    <t>Pipe</t>
  </si>
  <si>
    <t>Dir</t>
  </si>
  <si>
    <t>pipe weld 4in s-80</t>
  </si>
  <si>
    <t>Steel Erection</t>
  </si>
  <si>
    <t>Steel</t>
  </si>
  <si>
    <t>15T Crane</t>
  </si>
  <si>
    <t>ConstrEq</t>
  </si>
  <si>
    <t>weld machine</t>
  </si>
  <si>
    <t>spread_id</t>
  </si>
  <si>
    <t>spread_desc</t>
  </si>
  <si>
    <t>amount</t>
  </si>
  <si>
    <t>spread pipe lab productivity</t>
  </si>
  <si>
    <t>tax on equip</t>
  </si>
  <si>
    <t>spread cop</t>
  </si>
  <si>
    <t>*</t>
  </si>
  <si>
    <t>Spread1</t>
  </si>
  <si>
    <t>Spread2</t>
  </si>
  <si>
    <t>Spread3</t>
  </si>
  <si>
    <t>sprd-amt1</t>
  </si>
  <si>
    <t>sprd-amt2</t>
  </si>
  <si>
    <t>sprd-amt3</t>
  </si>
  <si>
    <t>};</t>
  </si>
  <si>
    <t xml:space="preserve">    int spread_id;</t>
  </si>
  <si>
    <t xml:space="preserve">    std::string spread_desc;</t>
  </si>
  <si>
    <t xml:space="preserve">    double amount_to_spread;</t>
  </si>
  <si>
    <t xml:space="preserve">    double spread_basis_aggregate;</t>
  </si>
  <si>
    <t xml:space="preserve">    spread_basis sb;</t>
  </si>
  <si>
    <t xml:space="preserve">    int row_id;</t>
  </si>
  <si>
    <t xml:space="preserve">    std::string desc;</t>
  </si>
  <si>
    <t xml:space="preserve">    double cost;</t>
  </si>
  <si>
    <t xml:space="preserve">    spread_basis sb;     // structure of various helper fields define </t>
  </si>
  <si>
    <t xml:space="preserve">                  // cost types ( Labor, Material, Discipline, Company Division-Cost Center)</t>
  </si>
  <si>
    <t xml:space="preserve"> j-&gt;</t>
  </si>
  <si>
    <t>i</t>
  </si>
  <si>
    <t xml:space="preserve">    std::vector&lt;bool&gt; apply_TF;</t>
  </si>
  <si>
    <t xml:space="preserve">    std::vector&lt;double&gt; sprd_amt;</t>
  </si>
  <si>
    <t>std::vector&lt;estim_data&gt; ed;</t>
  </si>
  <si>
    <t>std::vector&lt;spread_costs_items&gt; sprds;</t>
  </si>
  <si>
    <t>Structures and Vectors Used with spread alogrithmn</t>
  </si>
  <si>
    <t>by:  jas, 7/4/2024</t>
  </si>
  <si>
    <t>Cond_0</t>
  </si>
  <si>
    <t>Cond_1</t>
  </si>
  <si>
    <t>Cond_2</t>
  </si>
  <si>
    <t>Sprd_0</t>
  </si>
  <si>
    <t>Sprd_1</t>
  </si>
  <si>
    <t>Sprd_2</t>
  </si>
  <si>
    <t>Program Output Checking</t>
  </si>
  <si>
    <t>Check for matches in jall data</t>
  </si>
  <si>
    <r>
      <t xml:space="preserve">struct </t>
    </r>
    <r>
      <rPr>
        <b/>
        <sz val="11"/>
        <color theme="1"/>
        <rFont val="Calibri"/>
        <family val="2"/>
        <scheme val="minor"/>
      </rPr>
      <t>estim_data</t>
    </r>
    <r>
      <rPr>
        <sz val="11"/>
        <color theme="1"/>
        <rFont val="Calibri"/>
        <family val="2"/>
        <scheme val="minor"/>
      </rPr>
      <t xml:space="preserve"> {</t>
    </r>
  </si>
  <si>
    <r>
      <t xml:space="preserve">struct </t>
    </r>
    <r>
      <rPr>
        <b/>
        <sz val="11"/>
        <color theme="1"/>
        <rFont val="Calibri"/>
        <family val="2"/>
        <scheme val="minor"/>
      </rPr>
      <t>spread_costs_items</t>
    </r>
    <r>
      <rPr>
        <sz val="11"/>
        <color theme="1"/>
        <rFont val="Calibri"/>
        <family val="2"/>
        <scheme val="minor"/>
      </rPr>
      <t xml:space="preserve"> {</t>
    </r>
  </si>
  <si>
    <r>
      <t xml:space="preserve">struct </t>
    </r>
    <r>
      <rPr>
        <b/>
        <sz val="11"/>
        <color theme="1"/>
        <rFont val="Calibri"/>
        <family val="2"/>
        <scheme val="minor"/>
      </rPr>
      <t>apply_spreads</t>
    </r>
    <r>
      <rPr>
        <sz val="11"/>
        <color theme="1"/>
        <rFont val="Calibri"/>
        <family val="2"/>
        <scheme val="minor"/>
      </rPr>
      <t xml:space="preserve"> {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</si>
</sst>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41B3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5" borderId="0" xfId="0" applyFont="1" applyFill="1"/>
    <xf numFmtId="0" fontId="0" fillId="6" borderId="0" xfId="0" applyFill="1"/>
    <xf numFmtId="0" fontId="0" fillId="6" borderId="1" xfId="0" applyFill="1" applyBorder="1"/>
    <xf numFmtId="43" fontId="0" fillId="3" borderId="1" xfId="1" applyFont="1" applyFill="1" applyBorder="1"/>
    <xf numFmtId="0" fontId="1" fillId="4" borderId="0" xfId="0" applyFont="1" applyFill="1" applyAlignment="1">
      <alignment horizontal="left"/>
    </xf>
    <xf numFmtId="0" fontId="0" fillId="4" borderId="1" xfId="0" applyFill="1" applyBorder="1"/>
    <xf numFmtId="0" fontId="4" fillId="0" borderId="0" xfId="0" applyFont="1"/>
    <xf numFmtId="0" fontId="3" fillId="7" borderId="0" xfId="0" applyFont="1" applyFill="1"/>
    <xf numFmtId="0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141B38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D9C2-D5FA-4EBB-90B5-5BA274237FB9}">
  <dimension ref="A1:V37"/>
  <sheetViews>
    <sheetView tabSelected="1" zoomScale="85" zoomScaleNormal="85" workbookViewId="0">
      <selection activeCell="H19" sqref="H19"/>
    </sheetView>
  </sheetViews>
  <sheetFormatPr defaultRowHeight="15" x14ac:dyDescent="0.25"/>
  <cols>
    <col min="1" max="1" width="9.7109375" bestFit="1" customWidth="1"/>
    <col min="2" max="2" width="26.28515625" bestFit="1" customWidth="1"/>
    <col min="3" max="3" width="8" bestFit="1" customWidth="1"/>
    <col min="4" max="4" width="9.5703125" bestFit="1" customWidth="1"/>
    <col min="5" max="5" width="8.5703125" bestFit="1" customWidth="1"/>
    <col min="6" max="6" width="9.5703125" bestFit="1" customWidth="1"/>
    <col min="7" max="7" width="8.7109375" bestFit="1" customWidth="1"/>
    <col min="8" max="9" width="8.7109375" customWidth="1"/>
    <col min="10" max="12" width="13.28515625" customWidth="1"/>
    <col min="13" max="13" width="12" customWidth="1"/>
    <col min="14" max="14" width="6.7109375" customWidth="1"/>
    <col min="15" max="17" width="12" customWidth="1"/>
  </cols>
  <sheetData>
    <row r="1" spans="1:17" ht="23.25" x14ac:dyDescent="0.35">
      <c r="A1" s="23" t="s">
        <v>48</v>
      </c>
    </row>
    <row r="2" spans="1:17" x14ac:dyDescent="0.25">
      <c r="A2" t="s">
        <v>49</v>
      </c>
    </row>
    <row r="4" spans="1:17" x14ac:dyDescent="0.25">
      <c r="A4" s="6" t="s">
        <v>58</v>
      </c>
      <c r="B4" s="6"/>
      <c r="C4" s="6"/>
      <c r="D4" s="6"/>
      <c r="E4" s="6"/>
      <c r="F4" s="6"/>
      <c r="G4" s="6"/>
      <c r="I4" t="s">
        <v>60</v>
      </c>
      <c r="O4" t="s">
        <v>59</v>
      </c>
    </row>
    <row r="5" spans="1:17" x14ac:dyDescent="0.25">
      <c r="A5" s="6" t="s">
        <v>37</v>
      </c>
      <c r="B5" s="6"/>
      <c r="C5" s="6"/>
      <c r="D5" s="6"/>
      <c r="E5" s="6"/>
      <c r="F5" s="6"/>
      <c r="G5" s="6"/>
      <c r="I5" t="s">
        <v>37</v>
      </c>
      <c r="O5" t="s">
        <v>32</v>
      </c>
    </row>
    <row r="6" spans="1:17" x14ac:dyDescent="0.25">
      <c r="A6" s="6" t="s">
        <v>38</v>
      </c>
      <c r="B6" s="6"/>
      <c r="C6" s="6"/>
      <c r="D6" s="6"/>
      <c r="E6" s="6"/>
      <c r="F6" s="6"/>
      <c r="G6" s="6"/>
      <c r="I6" s="13" t="s">
        <v>44</v>
      </c>
      <c r="J6" s="13"/>
      <c r="K6" s="13"/>
      <c r="L6" s="13"/>
      <c r="O6" t="s">
        <v>33</v>
      </c>
    </row>
    <row r="7" spans="1:17" x14ac:dyDescent="0.25">
      <c r="A7" s="6" t="s">
        <v>39</v>
      </c>
      <c r="B7" s="6"/>
      <c r="C7" s="6"/>
      <c r="D7" s="6"/>
      <c r="E7" s="6"/>
      <c r="F7" s="6"/>
      <c r="G7" s="6"/>
      <c r="I7" s="14" t="s">
        <v>45</v>
      </c>
      <c r="J7" s="14"/>
      <c r="K7" s="14"/>
      <c r="L7" s="14"/>
      <c r="O7" t="s">
        <v>34</v>
      </c>
    </row>
    <row r="8" spans="1:17" x14ac:dyDescent="0.25">
      <c r="A8" s="6" t="s">
        <v>40</v>
      </c>
      <c r="B8" s="6"/>
      <c r="C8" s="6"/>
      <c r="D8" s="6"/>
      <c r="E8" s="6"/>
      <c r="F8" s="6"/>
      <c r="G8" s="6"/>
      <c r="I8" t="s">
        <v>31</v>
      </c>
      <c r="O8" s="18" t="s">
        <v>35</v>
      </c>
      <c r="P8" s="18"/>
      <c r="Q8" s="18"/>
    </row>
    <row r="9" spans="1:17" x14ac:dyDescent="0.25">
      <c r="A9" s="6" t="s">
        <v>41</v>
      </c>
      <c r="B9" s="6"/>
      <c r="C9" s="6"/>
      <c r="D9" s="6"/>
      <c r="E9" s="6"/>
      <c r="F9" s="6"/>
      <c r="G9" s="6"/>
      <c r="O9" t="s">
        <v>36</v>
      </c>
    </row>
    <row r="10" spans="1:17" x14ac:dyDescent="0.25">
      <c r="A10" s="6" t="s">
        <v>31</v>
      </c>
      <c r="B10" s="6"/>
      <c r="C10" s="6"/>
      <c r="D10" s="6"/>
      <c r="E10" s="6"/>
      <c r="F10" s="6"/>
      <c r="G10" s="6"/>
      <c r="O10" s="4"/>
    </row>
    <row r="11" spans="1:17" x14ac:dyDescent="0.25">
      <c r="A11" s="17" t="s">
        <v>46</v>
      </c>
      <c r="B11" s="6"/>
      <c r="C11" s="6"/>
      <c r="D11" s="6"/>
      <c r="E11" s="6"/>
      <c r="F11" s="6"/>
      <c r="G11" s="6"/>
      <c r="O11" s="19">
        <f>SUMIFS($C14:$C18,J14:J18,TRUE)</f>
        <v>9222.41</v>
      </c>
      <c r="P11" s="19">
        <f>SUMIFS($C14:$C18,K14:K18,TRUE)</f>
        <v>13455.380000000001</v>
      </c>
      <c r="Q11" s="19">
        <f>SUMIFS($C14:$C18,L14:L18,TRUE)</f>
        <v>31275.030000000002</v>
      </c>
    </row>
    <row r="12" spans="1:17" x14ac:dyDescent="0.25">
      <c r="A12" s="4"/>
      <c r="I12" s="10" t="s">
        <v>42</v>
      </c>
      <c r="J12" s="9">
        <v>0</v>
      </c>
      <c r="K12" s="9">
        <v>1</v>
      </c>
      <c r="L12" s="9">
        <v>2</v>
      </c>
      <c r="O12" s="9">
        <v>0</v>
      </c>
      <c r="P12" s="9">
        <v>1</v>
      </c>
      <c r="Q12" s="9">
        <v>2</v>
      </c>
    </row>
    <row r="13" spans="1:17" x14ac:dyDescent="0.25">
      <c r="A13" s="7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7" t="s">
        <v>5</v>
      </c>
      <c r="G13" s="7" t="s">
        <v>6</v>
      </c>
      <c r="I13" s="11" t="s">
        <v>43</v>
      </c>
      <c r="J13" s="2" t="s">
        <v>25</v>
      </c>
      <c r="K13" s="2" t="s">
        <v>26</v>
      </c>
      <c r="L13" s="2" t="s">
        <v>27</v>
      </c>
      <c r="N13" s="15" t="s">
        <v>43</v>
      </c>
      <c r="O13" s="3" t="s">
        <v>28</v>
      </c>
      <c r="P13" s="3" t="s">
        <v>29</v>
      </c>
      <c r="Q13" s="3" t="s">
        <v>30</v>
      </c>
    </row>
    <row r="14" spans="1:17" x14ac:dyDescent="0.25">
      <c r="A14" s="1">
        <v>1</v>
      </c>
      <c r="B14" s="1" t="s">
        <v>7</v>
      </c>
      <c r="C14" s="1">
        <v>1563.63</v>
      </c>
      <c r="D14" s="1" t="s">
        <v>8</v>
      </c>
      <c r="E14" s="1" t="s">
        <v>9</v>
      </c>
      <c r="F14" s="1" t="s">
        <v>10</v>
      </c>
      <c r="G14" s="1" t="s">
        <v>11</v>
      </c>
      <c r="I14" s="12">
        <v>0</v>
      </c>
      <c r="J14" s="8" t="b">
        <v>1</v>
      </c>
      <c r="K14" s="8" t="b">
        <v>0</v>
      </c>
      <c r="L14" s="8" t="b">
        <v>1</v>
      </c>
      <c r="N14" s="16">
        <v>0</v>
      </c>
      <c r="O14" s="20">
        <f>IF(J14,$C$33*$C14/O$11,0)</f>
        <v>254.37952449522416</v>
      </c>
      <c r="P14" s="20">
        <f>IF(K14,$C$34*$C14/P$11,0)</f>
        <v>0</v>
      </c>
      <c r="Q14" s="20">
        <f>IF(L14,$C$35*$C14/Q$11,0)</f>
        <v>75.011671307749339</v>
      </c>
    </row>
    <row r="15" spans="1:17" x14ac:dyDescent="0.25">
      <c r="A15" s="1">
        <v>2</v>
      </c>
      <c r="B15" s="1" t="s">
        <v>12</v>
      </c>
      <c r="C15" s="1">
        <v>7658.78</v>
      </c>
      <c r="D15" s="1" t="s">
        <v>8</v>
      </c>
      <c r="E15" s="1" t="s">
        <v>9</v>
      </c>
      <c r="F15" s="1" t="s">
        <v>10</v>
      </c>
      <c r="G15" s="1" t="s">
        <v>11</v>
      </c>
      <c r="I15" s="12">
        <v>1</v>
      </c>
      <c r="J15" s="8" t="b">
        <v>1</v>
      </c>
      <c r="K15" s="8" t="b">
        <v>0</v>
      </c>
      <c r="L15" s="8" t="b">
        <v>1</v>
      </c>
      <c r="N15" s="16">
        <v>1</v>
      </c>
      <c r="O15" s="20">
        <f>IF(J15,$C$33*$C15/O$11,0)</f>
        <v>1245.9704755047758</v>
      </c>
      <c r="P15" s="20">
        <f>IF(K15,$C$34*$C15/P$11,0)</f>
        <v>0</v>
      </c>
      <c r="Q15" s="20">
        <f>IF(L15,$C$35*$C15/Q$11,0)</f>
        <v>367.41293527136497</v>
      </c>
    </row>
    <row r="16" spans="1:17" x14ac:dyDescent="0.25">
      <c r="A16" s="1">
        <v>3</v>
      </c>
      <c r="B16" s="1" t="s">
        <v>13</v>
      </c>
      <c r="C16" s="1">
        <v>8597.24</v>
      </c>
      <c r="D16" s="1" t="s">
        <v>8</v>
      </c>
      <c r="E16" s="1" t="s">
        <v>9</v>
      </c>
      <c r="F16" s="1" t="s">
        <v>14</v>
      </c>
      <c r="G16" s="1" t="s">
        <v>11</v>
      </c>
      <c r="I16" s="12">
        <v>2</v>
      </c>
      <c r="J16" s="8" t="b">
        <v>0</v>
      </c>
      <c r="K16" s="8" t="b">
        <v>0</v>
      </c>
      <c r="L16" s="8" t="b">
        <v>1</v>
      </c>
      <c r="N16" s="16">
        <v>2</v>
      </c>
      <c r="O16" s="20">
        <f>IF(J16,$C$33*$C16/O$11,0)</f>
        <v>0</v>
      </c>
      <c r="P16" s="20">
        <f>IF(K16,$C$34*$C16/P$11,0)</f>
        <v>0</v>
      </c>
      <c r="Q16" s="20">
        <f>IF(L16,$C$35*$C16/Q$11,0)</f>
        <v>412.4334663787692</v>
      </c>
    </row>
    <row r="17" spans="1:22" x14ac:dyDescent="0.25">
      <c r="A17" s="1">
        <v>4</v>
      </c>
      <c r="B17" s="1" t="s">
        <v>15</v>
      </c>
      <c r="C17" s="1">
        <v>7000.63</v>
      </c>
      <c r="D17" s="1" t="s">
        <v>8</v>
      </c>
      <c r="E17" s="1" t="s">
        <v>9</v>
      </c>
      <c r="F17" s="1" t="s">
        <v>16</v>
      </c>
      <c r="G17" s="1"/>
      <c r="I17" s="12">
        <v>3</v>
      </c>
      <c r="J17" s="8" t="b">
        <v>0</v>
      </c>
      <c r="K17" s="8" t="b">
        <v>1</v>
      </c>
      <c r="L17" s="8" t="b">
        <v>1</v>
      </c>
      <c r="N17" s="16">
        <v>3</v>
      </c>
      <c r="O17" s="20">
        <f>IF(J17,$C$33*$C17/O$11,0)</f>
        <v>0</v>
      </c>
      <c r="P17" s="20">
        <f>IF(K17,$C$34*$C17/P$11,0)</f>
        <v>701.09940736716464</v>
      </c>
      <c r="Q17" s="20">
        <f>IF(L17,$C$35*$C17/Q$11,0)</f>
        <v>335.83965292759109</v>
      </c>
    </row>
    <row r="18" spans="1:22" x14ac:dyDescent="0.25">
      <c r="A18" s="1">
        <v>5</v>
      </c>
      <c r="B18" s="1" t="s">
        <v>17</v>
      </c>
      <c r="C18" s="1">
        <v>6454.75</v>
      </c>
      <c r="D18" s="1" t="s">
        <v>8</v>
      </c>
      <c r="E18" s="1" t="s">
        <v>9</v>
      </c>
      <c r="F18" s="1" t="s">
        <v>16</v>
      </c>
      <c r="G18" s="1"/>
      <c r="I18" s="12">
        <v>4</v>
      </c>
      <c r="J18" s="8" t="b">
        <v>0</v>
      </c>
      <c r="K18" s="8" t="b">
        <v>1</v>
      </c>
      <c r="L18" s="8" t="b">
        <v>1</v>
      </c>
      <c r="N18" s="16">
        <v>4</v>
      </c>
      <c r="O18" s="20">
        <f>IF(J18,$C$33*$C18/O$11,0)</f>
        <v>0</v>
      </c>
      <c r="P18" s="20">
        <f>IF(K18,$C$34*$C18/P$11,0)</f>
        <v>646.43059263283533</v>
      </c>
      <c r="Q18" s="20">
        <f>IF(L18,$C$35*$C18/Q$11,0)</f>
        <v>309.6522741145252</v>
      </c>
    </row>
    <row r="22" spans="1:22" x14ac:dyDescent="0.25">
      <c r="J22" s="4" t="s">
        <v>56</v>
      </c>
    </row>
    <row r="23" spans="1:22" x14ac:dyDescent="0.25">
      <c r="A23" s="5" t="s">
        <v>59</v>
      </c>
      <c r="B23" s="5"/>
      <c r="C23" s="5"/>
      <c r="D23" s="5"/>
      <c r="E23" s="5"/>
      <c r="F23" s="5"/>
      <c r="G23" s="5"/>
    </row>
    <row r="24" spans="1:22" x14ac:dyDescent="0.25">
      <c r="A24" s="5" t="s">
        <v>32</v>
      </c>
      <c r="B24" s="5"/>
      <c r="C24" s="5"/>
      <c r="D24" s="5"/>
      <c r="E24" s="5"/>
      <c r="F24" s="5"/>
      <c r="G24" s="5"/>
      <c r="J24" s="24" t="s">
        <v>0</v>
      </c>
      <c r="K24" s="24" t="s">
        <v>1</v>
      </c>
      <c r="L24" s="24" t="s">
        <v>2</v>
      </c>
      <c r="M24" s="24" t="s">
        <v>3</v>
      </c>
      <c r="N24" s="24" t="s">
        <v>4</v>
      </c>
      <c r="O24" s="24" t="s">
        <v>5</v>
      </c>
      <c r="P24" s="24" t="s">
        <v>6</v>
      </c>
      <c r="Q24" s="24" t="s">
        <v>50</v>
      </c>
      <c r="R24" s="24" t="s">
        <v>51</v>
      </c>
      <c r="S24" s="24" t="s">
        <v>52</v>
      </c>
      <c r="T24" s="24" t="s">
        <v>53</v>
      </c>
      <c r="U24" s="24" t="s">
        <v>54</v>
      </c>
      <c r="V24" s="24" t="s">
        <v>55</v>
      </c>
    </row>
    <row r="25" spans="1:22" x14ac:dyDescent="0.25">
      <c r="A25" s="5" t="s">
        <v>33</v>
      </c>
      <c r="B25" s="5"/>
      <c r="C25" s="5"/>
      <c r="D25" s="5"/>
      <c r="E25" s="5"/>
      <c r="F25" s="5"/>
      <c r="G25" s="5"/>
      <c r="J25">
        <v>1</v>
      </c>
      <c r="K25" t="s">
        <v>7</v>
      </c>
      <c r="L25">
        <v>1563.63</v>
      </c>
      <c r="M25" t="s">
        <v>8</v>
      </c>
      <c r="N25" t="s">
        <v>9</v>
      </c>
      <c r="O25" t="s">
        <v>10</v>
      </c>
      <c r="P25" t="s">
        <v>11</v>
      </c>
      <c r="Q25" t="b">
        <v>1</v>
      </c>
      <c r="R25" t="b">
        <v>0</v>
      </c>
      <c r="S25" t="b">
        <v>1</v>
      </c>
      <c r="T25">
        <v>254.38</v>
      </c>
      <c r="U25">
        <v>0</v>
      </c>
      <c r="V25">
        <v>75.010000000000005</v>
      </c>
    </row>
    <row r="26" spans="1:22" x14ac:dyDescent="0.25">
      <c r="A26" s="5" t="s">
        <v>34</v>
      </c>
      <c r="B26" s="5"/>
      <c r="C26" s="5"/>
      <c r="D26" s="5"/>
      <c r="E26" s="5"/>
      <c r="F26" s="5"/>
      <c r="G26" s="5"/>
      <c r="J26">
        <v>2</v>
      </c>
      <c r="K26" t="s">
        <v>12</v>
      </c>
      <c r="L26">
        <v>7658.78</v>
      </c>
      <c r="M26" t="s">
        <v>8</v>
      </c>
      <c r="N26" t="s">
        <v>9</v>
      </c>
      <c r="O26" t="s">
        <v>10</v>
      </c>
      <c r="P26" t="s">
        <v>11</v>
      </c>
      <c r="Q26" t="b">
        <v>1</v>
      </c>
      <c r="R26" t="b">
        <v>0</v>
      </c>
      <c r="S26" t="b">
        <v>1</v>
      </c>
      <c r="T26">
        <v>1245.97</v>
      </c>
      <c r="U26">
        <v>0</v>
      </c>
      <c r="V26">
        <v>367.41</v>
      </c>
    </row>
    <row r="27" spans="1:22" x14ac:dyDescent="0.25">
      <c r="A27" s="5" t="s">
        <v>35</v>
      </c>
      <c r="B27" s="5"/>
      <c r="C27" s="5"/>
      <c r="D27" s="5"/>
      <c r="E27" s="5"/>
      <c r="F27" s="5"/>
      <c r="G27" s="5"/>
      <c r="J27">
        <v>3</v>
      </c>
      <c r="K27" t="s">
        <v>13</v>
      </c>
      <c r="L27">
        <v>8597.24</v>
      </c>
      <c r="M27" t="s">
        <v>8</v>
      </c>
      <c r="N27" t="s">
        <v>9</v>
      </c>
      <c r="O27" t="s">
        <v>14</v>
      </c>
      <c r="P27" t="s">
        <v>11</v>
      </c>
      <c r="Q27" t="b">
        <v>0</v>
      </c>
      <c r="R27" t="b">
        <v>0</v>
      </c>
      <c r="S27" t="b">
        <v>1</v>
      </c>
      <c r="T27">
        <v>0</v>
      </c>
      <c r="U27">
        <v>0</v>
      </c>
      <c r="V27">
        <v>412.43</v>
      </c>
    </row>
    <row r="28" spans="1:22" x14ac:dyDescent="0.25">
      <c r="A28" s="5" t="s">
        <v>36</v>
      </c>
      <c r="B28" s="5"/>
      <c r="C28" s="5"/>
      <c r="D28" s="5"/>
      <c r="E28" s="5"/>
      <c r="F28" s="5"/>
      <c r="G28" s="5"/>
      <c r="J28">
        <v>4</v>
      </c>
      <c r="K28" t="s">
        <v>15</v>
      </c>
      <c r="L28">
        <v>7000.63</v>
      </c>
      <c r="M28" t="s">
        <v>8</v>
      </c>
      <c r="N28" t="s">
        <v>9</v>
      </c>
      <c r="O28" t="s">
        <v>16</v>
      </c>
      <c r="Q28" t="b">
        <v>0</v>
      </c>
      <c r="R28" t="b">
        <v>1</v>
      </c>
      <c r="S28" t="b">
        <v>1</v>
      </c>
      <c r="T28">
        <v>0</v>
      </c>
      <c r="U28">
        <v>701.1</v>
      </c>
      <c r="V28">
        <v>335.84</v>
      </c>
    </row>
    <row r="29" spans="1:22" x14ac:dyDescent="0.25">
      <c r="A29" s="5" t="s">
        <v>31</v>
      </c>
      <c r="B29" s="5"/>
      <c r="C29" s="5"/>
      <c r="D29" s="5"/>
      <c r="E29" s="5"/>
      <c r="F29" s="5"/>
      <c r="G29" s="5"/>
      <c r="J29">
        <v>5</v>
      </c>
      <c r="K29" t="s">
        <v>17</v>
      </c>
      <c r="L29">
        <v>6454.75</v>
      </c>
      <c r="M29" t="s">
        <v>8</v>
      </c>
      <c r="N29" t="s">
        <v>9</v>
      </c>
      <c r="O29" t="s">
        <v>16</v>
      </c>
      <c r="Q29" t="b">
        <v>0</v>
      </c>
      <c r="R29" t="b">
        <v>1</v>
      </c>
      <c r="S29" t="b">
        <v>1</v>
      </c>
      <c r="T29">
        <v>0</v>
      </c>
      <c r="U29">
        <v>646.42999999999995</v>
      </c>
      <c r="V29">
        <v>309.64999999999998</v>
      </c>
    </row>
    <row r="30" spans="1:22" x14ac:dyDescent="0.25">
      <c r="A30" s="21" t="s">
        <v>47</v>
      </c>
      <c r="B30" s="5"/>
      <c r="C30" s="5"/>
      <c r="D30" s="5"/>
      <c r="E30" s="5"/>
      <c r="F30" s="5"/>
      <c r="G30" s="5"/>
    </row>
    <row r="31" spans="1:22" x14ac:dyDescent="0.25">
      <c r="J31" t="s">
        <v>57</v>
      </c>
    </row>
    <row r="32" spans="1:22" x14ac:dyDescent="0.25">
      <c r="A32" s="22" t="s">
        <v>18</v>
      </c>
      <c r="B32" s="22" t="s">
        <v>19</v>
      </c>
      <c r="C32" s="22" t="s">
        <v>20</v>
      </c>
      <c r="D32" s="22" t="s">
        <v>3</v>
      </c>
      <c r="E32" s="22" t="s">
        <v>4</v>
      </c>
      <c r="F32" s="22" t="s">
        <v>5</v>
      </c>
      <c r="G32" s="22" t="s">
        <v>6</v>
      </c>
      <c r="J32" s="24" t="s">
        <v>0</v>
      </c>
      <c r="K32" s="24" t="s">
        <v>1</v>
      </c>
      <c r="L32" s="24" t="s">
        <v>2</v>
      </c>
      <c r="M32" s="24" t="s">
        <v>3</v>
      </c>
      <c r="N32" s="24" t="s">
        <v>4</v>
      </c>
      <c r="O32" s="24" t="s">
        <v>5</v>
      </c>
      <c r="P32" s="24" t="s">
        <v>6</v>
      </c>
      <c r="Q32" s="24" t="s">
        <v>50</v>
      </c>
      <c r="R32" s="24" t="s">
        <v>51</v>
      </c>
      <c r="S32" s="24" t="s">
        <v>52</v>
      </c>
      <c r="T32" s="24" t="s">
        <v>53</v>
      </c>
      <c r="U32" s="24" t="s">
        <v>54</v>
      </c>
      <c r="V32" s="24" t="s">
        <v>55</v>
      </c>
    </row>
    <row r="33" spans="1:22" x14ac:dyDescent="0.25">
      <c r="A33" s="1">
        <v>1</v>
      </c>
      <c r="B33" s="1" t="s">
        <v>21</v>
      </c>
      <c r="C33" s="1">
        <v>1500.35</v>
      </c>
      <c r="D33" s="1" t="s">
        <v>8</v>
      </c>
      <c r="E33" s="1" t="s">
        <v>9</v>
      </c>
      <c r="F33" s="1" t="s">
        <v>10</v>
      </c>
      <c r="G33" s="1" t="s">
        <v>11</v>
      </c>
      <c r="J33">
        <v>1</v>
      </c>
      <c r="K33" s="25" t="b">
        <f>EXACT(K25,B14)</f>
        <v>1</v>
      </c>
      <c r="L33" s="25" t="b">
        <f>EXACT(L25,C14)</f>
        <v>1</v>
      </c>
      <c r="M33" s="25" t="b">
        <f>EXACT(M25,D14)</f>
        <v>1</v>
      </c>
      <c r="N33" s="25" t="b">
        <f>EXACT(N25,E14)</f>
        <v>1</v>
      </c>
      <c r="O33" s="25" t="b">
        <f>EXACT(O25,F14)</f>
        <v>1</v>
      </c>
      <c r="P33" s="25" t="b">
        <f>EXACT(P25,G14)</f>
        <v>1</v>
      </c>
      <c r="Q33" s="25" t="b">
        <f>EXACT(Q25,J14)</f>
        <v>1</v>
      </c>
      <c r="R33" s="25" t="b">
        <f>EXACT(R25,K14)</f>
        <v>1</v>
      </c>
      <c r="S33" s="25" t="b">
        <f>EXACT(S25,L14)</f>
        <v>1</v>
      </c>
      <c r="T33" s="26" t="b">
        <f>(O14-T25)&lt;0.01</f>
        <v>1</v>
      </c>
      <c r="U33" s="26" t="b">
        <f>(P14-U25)&lt;0.01</f>
        <v>1</v>
      </c>
      <c r="V33" s="26" t="b">
        <f>(Q14-V25)&lt;0.01</f>
        <v>1</v>
      </c>
    </row>
    <row r="34" spans="1:22" x14ac:dyDescent="0.25">
      <c r="A34" s="1">
        <v>2</v>
      </c>
      <c r="B34" s="1" t="s">
        <v>22</v>
      </c>
      <c r="C34" s="1">
        <v>1347.53</v>
      </c>
      <c r="D34" s="1" t="s">
        <v>8</v>
      </c>
      <c r="E34" s="1" t="s">
        <v>9</v>
      </c>
      <c r="F34" s="1" t="s">
        <v>16</v>
      </c>
      <c r="G34" s="1"/>
      <c r="J34">
        <v>2</v>
      </c>
      <c r="K34" s="25" t="b">
        <f>EXACT(K26,B15)</f>
        <v>1</v>
      </c>
      <c r="L34" s="25" t="b">
        <f>EXACT(L26,C15)</f>
        <v>1</v>
      </c>
      <c r="M34" s="25" t="b">
        <f>EXACT(M26,D15)</f>
        <v>1</v>
      </c>
      <c r="N34" s="25" t="b">
        <f>EXACT(N26,E15)</f>
        <v>1</v>
      </c>
      <c r="O34" s="25" t="b">
        <f>EXACT(O26,F15)</f>
        <v>1</v>
      </c>
      <c r="P34" s="25" t="b">
        <f>EXACT(P26,G15)</f>
        <v>1</v>
      </c>
      <c r="Q34" s="25" t="b">
        <f>EXACT(Q26,J15)</f>
        <v>1</v>
      </c>
      <c r="R34" s="25" t="b">
        <f>EXACT(R26,K15)</f>
        <v>1</v>
      </c>
      <c r="S34" s="25" t="b">
        <f>EXACT(S26,L15)</f>
        <v>1</v>
      </c>
      <c r="T34" s="26" t="b">
        <f>(O15-T26)&lt;0.01</f>
        <v>1</v>
      </c>
      <c r="U34" s="26" t="b">
        <f>(P15-U26)&lt;0.01</f>
        <v>1</v>
      </c>
      <c r="V34" s="26" t="b">
        <f>(Q15-V26)&lt;0.01</f>
        <v>1</v>
      </c>
    </row>
    <row r="35" spans="1:22" x14ac:dyDescent="0.25">
      <c r="A35" s="1">
        <v>3</v>
      </c>
      <c r="B35" s="1" t="s">
        <v>23</v>
      </c>
      <c r="C35" s="1">
        <v>1500.35</v>
      </c>
      <c r="D35" s="1" t="s">
        <v>24</v>
      </c>
      <c r="E35" s="1" t="s">
        <v>24</v>
      </c>
      <c r="F35" s="1" t="s">
        <v>24</v>
      </c>
      <c r="G35" s="1" t="s">
        <v>24</v>
      </c>
      <c r="J35">
        <v>3</v>
      </c>
      <c r="K35" s="25" t="b">
        <f>EXACT(K27,B16)</f>
        <v>1</v>
      </c>
      <c r="L35" s="25" t="b">
        <f>EXACT(L27,C16)</f>
        <v>1</v>
      </c>
      <c r="M35" s="25" t="b">
        <f>EXACT(M27,D16)</f>
        <v>1</v>
      </c>
      <c r="N35" s="25" t="b">
        <f>EXACT(N27,E16)</f>
        <v>1</v>
      </c>
      <c r="O35" s="25" t="b">
        <f>EXACT(O27,F16)</f>
        <v>1</v>
      </c>
      <c r="P35" s="25" t="b">
        <f>EXACT(P27,G16)</f>
        <v>1</v>
      </c>
      <c r="Q35" s="25" t="b">
        <f>EXACT(Q27,J16)</f>
        <v>1</v>
      </c>
      <c r="R35" s="25" t="b">
        <f>EXACT(R27,K16)</f>
        <v>1</v>
      </c>
      <c r="S35" s="25" t="b">
        <f>EXACT(S27,L16)</f>
        <v>1</v>
      </c>
      <c r="T35" s="26" t="b">
        <f>(O16-T27)&lt;0.01</f>
        <v>1</v>
      </c>
      <c r="U35" s="26" t="b">
        <f>(P16-U27)&lt;0.01</f>
        <v>1</v>
      </c>
      <c r="V35" s="26" t="b">
        <f>(Q16-V27)&lt;0.01</f>
        <v>1</v>
      </c>
    </row>
    <row r="36" spans="1:22" x14ac:dyDescent="0.25">
      <c r="J36">
        <v>4</v>
      </c>
      <c r="K36" s="25" t="b">
        <f>EXACT(K28,B17)</f>
        <v>1</v>
      </c>
      <c r="L36" s="25" t="b">
        <f>EXACT(L28,C17)</f>
        <v>1</v>
      </c>
      <c r="M36" s="25" t="b">
        <f>EXACT(M28,D17)</f>
        <v>1</v>
      </c>
      <c r="N36" s="25" t="b">
        <f>EXACT(N28,E17)</f>
        <v>1</v>
      </c>
      <c r="O36" s="25" t="b">
        <f>EXACT(O28,F17)</f>
        <v>1</v>
      </c>
      <c r="P36" s="25" t="b">
        <f>EXACT(P28,G17)</f>
        <v>1</v>
      </c>
      <c r="Q36" s="25" t="b">
        <f>EXACT(Q28,J17)</f>
        <v>1</v>
      </c>
      <c r="R36" s="25" t="b">
        <f>EXACT(R28,K17)</f>
        <v>1</v>
      </c>
      <c r="S36" s="25" t="b">
        <f>EXACT(S28,L17)</f>
        <v>1</v>
      </c>
      <c r="T36" s="26" t="b">
        <f>(O17-T28)&lt;0.01</f>
        <v>1</v>
      </c>
      <c r="U36" s="26" t="b">
        <f>(P17-U28)&lt;0.01</f>
        <v>1</v>
      </c>
      <c r="V36" s="26" t="b">
        <f>(Q17-V28)&lt;0.01</f>
        <v>1</v>
      </c>
    </row>
    <row r="37" spans="1:22" x14ac:dyDescent="0.25">
      <c r="J37">
        <v>5</v>
      </c>
      <c r="K37" s="25" t="b">
        <f>EXACT(K29,B18)</f>
        <v>1</v>
      </c>
      <c r="L37" s="25" t="b">
        <f>EXACT(L29,C18)</f>
        <v>1</v>
      </c>
      <c r="M37" s="25" t="b">
        <f>EXACT(M29,D18)</f>
        <v>1</v>
      </c>
      <c r="N37" s="25" t="b">
        <f>EXACT(N29,E18)</f>
        <v>1</v>
      </c>
      <c r="O37" s="25" t="b">
        <f>EXACT(O29,F18)</f>
        <v>1</v>
      </c>
      <c r="P37" s="25" t="b">
        <f>EXACT(P29,G18)</f>
        <v>1</v>
      </c>
      <c r="Q37" s="25" t="b">
        <f>EXACT(Q29,J18)</f>
        <v>1</v>
      </c>
      <c r="R37" s="25" t="b">
        <f>EXACT(R29,K18)</f>
        <v>1</v>
      </c>
      <c r="S37" s="25" t="b">
        <f>EXACT(S29,L18)</f>
        <v>1</v>
      </c>
      <c r="T37" s="26" t="b">
        <f>(O18-T29)&lt;0.01</f>
        <v>1</v>
      </c>
      <c r="U37" s="26" t="b">
        <f>(P18-U29)&lt;0.01</f>
        <v>1</v>
      </c>
      <c r="V37" s="26" t="b">
        <f>(Q18-V29)&lt;0.01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Sciple</dc:creator>
  <cp:lastModifiedBy>Tony Sciple</cp:lastModifiedBy>
  <dcterms:created xsi:type="dcterms:W3CDTF">2024-07-03T18:07:55Z</dcterms:created>
  <dcterms:modified xsi:type="dcterms:W3CDTF">2024-07-04T17:18:44Z</dcterms:modified>
</cp:coreProperties>
</file>