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scip\cpp\breakdown\"/>
    </mc:Choice>
  </mc:AlternateContent>
  <xr:revisionPtr revIDLastSave="0" documentId="13_ncr:1_{1B00D676-2DC8-4063-A3A0-E8755313739F}" xr6:coauthVersionLast="47" xr6:coauthVersionMax="47" xr10:uidLastSave="{00000000-0000-0000-0000-000000000000}"/>
  <bookViews>
    <workbookView xWindow="28680" yWindow="-120" windowWidth="29040" windowHeight="15720" tabRatio="920" activeTab="1" xr2:uid="{00000000-000D-0000-FFFF-FFFF00000000}"/>
  </bookViews>
  <sheets>
    <sheet name="Title" sheetId="37" r:id="rId1"/>
    <sheet name="Estimate" sheetId="1" r:id="rId2"/>
    <sheet name="B&amp;G" sheetId="7" r:id="rId3"/>
    <sheet name="Rate" sheetId="36" r:id="rId4"/>
  </sheets>
  <functionGroups builtInGroupCount="19"/>
  <definedNames>
    <definedName name="_xlnm._FilterDatabase" localSheetId="2" hidden="1">'B&amp;G'!$A$1:$P$108</definedName>
    <definedName name="_xlnm._FilterDatabase" localSheetId="1" hidden="1">Estimate!$A$1:$AF$953</definedName>
    <definedName name="_sch_Mech_Wks">Estimate!$C$948</definedName>
    <definedName name="DirectBurdMult">#REF!</definedName>
    <definedName name="IndirBurdMult">#REF!</definedName>
    <definedName name="OAMonths">Estimate!$E$953</definedName>
    <definedName name="_xlnm.Print_Area" localSheetId="1">Estimate!$A$1:$AB$953</definedName>
    <definedName name="_xlnm.Print_Titles" localSheetId="1">Estimate!$1:$1</definedName>
    <definedName name="rentFact">Rate!$F$12</definedName>
    <definedName name="sch_Mech_Mo">Estimate!$E$948</definedName>
    <definedName name="sch_Mob_Demob_Mo">Estimate!$E$951</definedName>
    <definedName name="Work_Hr_Mo">Estimate!$S$831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9" i="37" l="1"/>
  <c r="K8" i="37"/>
  <c r="K7" i="37"/>
  <c r="K6" i="37"/>
  <c r="K5" i="37"/>
  <c r="K4" i="37"/>
  <c r="B25" i="37" l="1"/>
  <c r="B26" i="37"/>
  <c r="B27" i="37"/>
  <c r="B28" i="37"/>
  <c r="S605" i="1" l="1"/>
  <c r="S534" i="1"/>
  <c r="S414" i="1"/>
  <c r="S13" i="1"/>
  <c r="S12" i="1"/>
  <c r="S11" i="1"/>
  <c r="W653" i="1"/>
  <c r="W652" i="1"/>
  <c r="W651" i="1"/>
  <c r="AA652" i="1"/>
  <c r="Z652" i="1"/>
  <c r="Y652" i="1"/>
  <c r="U652" i="1"/>
  <c r="AA651" i="1"/>
  <c r="Z651" i="1"/>
  <c r="Y651" i="1"/>
  <c r="U651" i="1"/>
  <c r="AA653" i="1"/>
  <c r="Z653" i="1"/>
  <c r="Y653" i="1"/>
  <c r="U653" i="1"/>
  <c r="V901" i="1" l="1"/>
  <c r="U45" i="1" l="1"/>
  <c r="U44" i="1"/>
  <c r="U43" i="1"/>
  <c r="U42" i="1"/>
  <c r="U41" i="1"/>
  <c r="U40" i="1"/>
  <c r="U39" i="1"/>
  <c r="U38" i="1"/>
  <c r="U37" i="1"/>
  <c r="H47" i="7" l="1"/>
  <c r="P47" i="7" s="1"/>
  <c r="H101" i="7"/>
  <c r="P101" i="7" s="1"/>
  <c r="H100" i="7"/>
  <c r="P100" i="7" s="1"/>
  <c r="H99" i="7"/>
  <c r="P99" i="7" s="1"/>
  <c r="H98" i="7"/>
  <c r="P98" i="7" s="1"/>
  <c r="H97" i="7"/>
  <c r="P97" i="7" s="1"/>
  <c r="H96" i="7"/>
  <c r="P96" i="7" s="1"/>
  <c r="H78" i="7"/>
  <c r="P78" i="7" s="1"/>
  <c r="H58" i="7"/>
  <c r="P58" i="7" s="1"/>
  <c r="H57" i="7"/>
  <c r="P57" i="7" s="1"/>
  <c r="H56" i="7"/>
  <c r="P56" i="7" s="1"/>
  <c r="H55" i="7"/>
  <c r="P55" i="7" s="1"/>
  <c r="H54" i="7"/>
  <c r="P54" i="7" s="1"/>
  <c r="H53" i="7"/>
  <c r="P53" i="7" s="1"/>
  <c r="H39" i="7"/>
  <c r="P39" i="7" s="1"/>
  <c r="H38" i="7"/>
  <c r="P38" i="7" s="1"/>
  <c r="H37" i="7"/>
  <c r="P37" i="7" s="1"/>
  <c r="H20" i="7"/>
  <c r="P20" i="7" s="1"/>
  <c r="H19" i="7"/>
  <c r="P19" i="7" s="1"/>
  <c r="H18" i="7"/>
  <c r="P18" i="7" s="1"/>
  <c r="P95" i="7"/>
  <c r="P94" i="7"/>
  <c r="P93" i="7"/>
  <c r="P92" i="7"/>
  <c r="P91" i="7"/>
  <c r="P90" i="7"/>
  <c r="P89" i="7"/>
  <c r="P88" i="7"/>
  <c r="P87" i="7"/>
  <c r="P86" i="7"/>
  <c r="P85" i="7"/>
  <c r="P84" i="7"/>
  <c r="P83" i="7"/>
  <c r="P82" i="7"/>
  <c r="P81" i="7"/>
  <c r="P80" i="7"/>
  <c r="P79" i="7"/>
  <c r="P77" i="7"/>
  <c r="P76" i="7"/>
  <c r="P75" i="7"/>
  <c r="P74" i="7"/>
  <c r="P73" i="7"/>
  <c r="P72" i="7"/>
  <c r="P71" i="7"/>
  <c r="P70" i="7"/>
  <c r="P69" i="7"/>
  <c r="P68" i="7"/>
  <c r="P67" i="7"/>
  <c r="P66" i="7"/>
  <c r="P65" i="7"/>
  <c r="P64" i="7"/>
  <c r="P63" i="7"/>
  <c r="P62" i="7"/>
  <c r="P61" i="7"/>
  <c r="P60" i="7"/>
  <c r="P59" i="7"/>
  <c r="P52" i="7"/>
  <c r="P51" i="7"/>
  <c r="P50" i="7"/>
  <c r="P49" i="7"/>
  <c r="P48" i="7"/>
  <c r="P46" i="7"/>
  <c r="P45" i="7"/>
  <c r="P44" i="7"/>
  <c r="P43" i="7"/>
  <c r="P42" i="7"/>
  <c r="P41" i="7"/>
  <c r="P40" i="7"/>
  <c r="P36" i="7"/>
  <c r="P35" i="7"/>
  <c r="P34" i="7"/>
  <c r="P33" i="7"/>
  <c r="P32" i="7"/>
  <c r="P31" i="7"/>
  <c r="P30" i="7"/>
  <c r="P29" i="7"/>
  <c r="P28" i="7"/>
  <c r="P27" i="7"/>
  <c r="P26" i="7"/>
  <c r="P25" i="7"/>
  <c r="P24" i="7"/>
  <c r="P23" i="7"/>
  <c r="P22" i="7"/>
  <c r="P21" i="7"/>
  <c r="P17" i="7"/>
  <c r="P16" i="7"/>
  <c r="P15" i="7"/>
  <c r="P14" i="7"/>
  <c r="P13" i="7"/>
  <c r="P12" i="7"/>
  <c r="P11" i="7"/>
  <c r="P10" i="7"/>
  <c r="P9" i="7"/>
  <c r="P8" i="7"/>
  <c r="P7" i="7"/>
  <c r="P6" i="7"/>
  <c r="P5" i="7"/>
  <c r="P4" i="7"/>
  <c r="P3" i="7"/>
  <c r="P2" i="7"/>
  <c r="W680" i="1" l="1"/>
  <c r="W742" i="1"/>
  <c r="F742" i="1"/>
  <c r="J2" i="7" l="1"/>
  <c r="W641" i="1" l="1"/>
  <c r="G26" i="36"/>
  <c r="I26" i="36" s="1"/>
  <c r="H29" i="36"/>
  <c r="H25" i="36"/>
  <c r="H28" i="36" s="1"/>
  <c r="G29" i="36"/>
  <c r="K29" i="36"/>
  <c r="K26" i="36"/>
  <c r="K27" i="36" s="1"/>
  <c r="K28" i="36" s="1"/>
  <c r="I24" i="36"/>
  <c r="H31" i="36" l="1"/>
  <c r="K31" i="36"/>
  <c r="K33" i="36" s="1"/>
  <c r="I29" i="36"/>
  <c r="H32" i="36"/>
  <c r="I32" i="36" s="1"/>
  <c r="I25" i="36"/>
  <c r="H33" i="36" l="1"/>
  <c r="S912" i="1" l="1"/>
  <c r="S911" i="1"/>
  <c r="E953" i="1"/>
  <c r="E950" i="1"/>
  <c r="E949" i="1"/>
  <c r="E947" i="1"/>
  <c r="E948" i="1"/>
  <c r="U488" i="1" l="1"/>
  <c r="U487" i="1"/>
  <c r="U486" i="1"/>
  <c r="U485" i="1"/>
  <c r="U484" i="1"/>
  <c r="U483" i="1"/>
  <c r="U482" i="1"/>
  <c r="U481" i="1"/>
  <c r="U516" i="1"/>
  <c r="U515" i="1"/>
  <c r="U514" i="1"/>
  <c r="U513" i="1"/>
  <c r="S915" i="1"/>
  <c r="S914" i="1"/>
  <c r="S913" i="1"/>
  <c r="Z739" i="1" l="1"/>
  <c r="Y739" i="1"/>
  <c r="X739" i="1"/>
  <c r="Z740" i="1"/>
  <c r="Y740" i="1"/>
  <c r="X740" i="1"/>
  <c r="Z686" i="1"/>
  <c r="Y686" i="1"/>
  <c r="X686" i="1"/>
  <c r="Z687" i="1"/>
  <c r="Y687" i="1"/>
  <c r="X687" i="1"/>
  <c r="Z690" i="1"/>
  <c r="Y690" i="1"/>
  <c r="X690" i="1"/>
  <c r="Z757" i="1"/>
  <c r="Y757" i="1"/>
  <c r="X757" i="1"/>
  <c r="F757" i="1"/>
  <c r="Z756" i="1"/>
  <c r="Y756" i="1"/>
  <c r="X756" i="1"/>
  <c r="F756" i="1"/>
  <c r="Z758" i="1"/>
  <c r="Y758" i="1"/>
  <c r="X758" i="1"/>
  <c r="Z743" i="1" l="1"/>
  <c r="Y743" i="1"/>
  <c r="X743" i="1"/>
  <c r="F743" i="1"/>
  <c r="Z677" i="1" l="1"/>
  <c r="Y677" i="1"/>
  <c r="X677" i="1"/>
  <c r="Z759" i="1"/>
  <c r="Y759" i="1"/>
  <c r="X759" i="1"/>
  <c r="F755" i="1"/>
  <c r="Z755" i="1"/>
  <c r="Y755" i="1"/>
  <c r="X755" i="1"/>
  <c r="Z688" i="1"/>
  <c r="Y688" i="1"/>
  <c r="X688" i="1"/>
  <c r="W678" i="1"/>
  <c r="F185" i="1"/>
  <c r="U3" i="1"/>
  <c r="U8" i="1"/>
  <c r="U7" i="1"/>
  <c r="U6" i="1"/>
  <c r="U5" i="1"/>
  <c r="U4" i="1"/>
  <c r="AA820" i="1"/>
  <c r="Z820" i="1"/>
  <c r="Y820" i="1"/>
  <c r="Y819" i="1"/>
  <c r="Z819" i="1"/>
  <c r="AA819" i="1"/>
  <c r="A821" i="1"/>
  <c r="AA818" i="1"/>
  <c r="Z818" i="1"/>
  <c r="Y818" i="1"/>
  <c r="I7" i="36" l="1"/>
  <c r="I6" i="36"/>
  <c r="H6" i="36"/>
  <c r="J5" i="36"/>
  <c r="H5" i="36"/>
  <c r="Z732" i="1"/>
  <c r="Y732" i="1"/>
  <c r="X732" i="1"/>
  <c r="Z723" i="1" l="1"/>
  <c r="Y723" i="1"/>
  <c r="X723" i="1"/>
  <c r="Z722" i="1"/>
  <c r="Y722" i="1"/>
  <c r="X722" i="1"/>
  <c r="Z721" i="1"/>
  <c r="Y721" i="1"/>
  <c r="X721" i="1"/>
  <c r="Z720" i="1"/>
  <c r="Y720" i="1"/>
  <c r="X720" i="1"/>
  <c r="W570" i="1"/>
  <c r="W569" i="1"/>
  <c r="W618" i="1"/>
  <c r="W619" i="1"/>
  <c r="S616" i="1"/>
  <c r="W622" i="1" l="1"/>
  <c r="W621" i="1"/>
  <c r="W620" i="1"/>
  <c r="W616" i="1"/>
  <c r="Z616" i="1" s="1"/>
  <c r="D616" i="1" s="1"/>
  <c r="U489" i="1" l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309" i="1"/>
  <c r="U308" i="1"/>
  <c r="U307" i="1"/>
  <c r="U306" i="1"/>
  <c r="U304" i="1"/>
  <c r="U303" i="1"/>
  <c r="U302" i="1"/>
  <c r="U301" i="1"/>
  <c r="U300" i="1"/>
  <c r="U299" i="1"/>
  <c r="U298" i="1"/>
  <c r="U297" i="1"/>
  <c r="U296" i="1"/>
  <c r="U295" i="1"/>
  <c r="U294" i="1"/>
  <c r="U293" i="1"/>
  <c r="U292" i="1"/>
  <c r="U291" i="1"/>
  <c r="U290" i="1"/>
  <c r="U289" i="1"/>
  <c r="U305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187" i="1" l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133" i="1"/>
  <c r="U46" i="1" l="1"/>
  <c r="U47" i="1"/>
  <c r="U48" i="1"/>
  <c r="U49" i="1"/>
  <c r="U50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9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2" i="1"/>
  <c r="U10" i="1"/>
  <c r="U11" i="1"/>
  <c r="U13" i="1"/>
  <c r="U14" i="1"/>
  <c r="U15" i="1"/>
  <c r="U16" i="1"/>
  <c r="U17" i="1"/>
  <c r="U18" i="1"/>
  <c r="AA589" i="1" l="1"/>
  <c r="Z589" i="1"/>
  <c r="Y589" i="1"/>
  <c r="U589" i="1"/>
  <c r="V589" i="1" s="1"/>
  <c r="W903" i="1" l="1"/>
  <c r="W902" i="1"/>
  <c r="L903" i="1"/>
  <c r="AA915" i="1" l="1"/>
  <c r="Z915" i="1"/>
  <c r="Y915" i="1"/>
  <c r="AA914" i="1"/>
  <c r="Z914" i="1"/>
  <c r="Y914" i="1"/>
  <c r="AA913" i="1"/>
  <c r="Z913" i="1"/>
  <c r="Y913" i="1"/>
  <c r="R646" i="1" l="1"/>
  <c r="R645" i="1" s="1"/>
  <c r="Q646" i="1"/>
  <c r="Q645" i="1" s="1"/>
  <c r="P646" i="1"/>
  <c r="P645" i="1" s="1"/>
  <c r="O646" i="1"/>
  <c r="O645" i="1" s="1"/>
  <c r="N646" i="1"/>
  <c r="N645" i="1" s="1"/>
  <c r="M646" i="1"/>
  <c r="M645" i="1" s="1"/>
  <c r="L646" i="1"/>
  <c r="L645" i="1" s="1"/>
  <c r="K646" i="1"/>
  <c r="K645" i="1" s="1"/>
  <c r="J646" i="1"/>
  <c r="J645" i="1" s="1"/>
  <c r="I646" i="1"/>
  <c r="I645" i="1" s="1"/>
  <c r="W645" i="1" l="1"/>
  <c r="W561" i="1"/>
  <c r="AA561" i="1"/>
  <c r="Z561" i="1"/>
  <c r="Y561" i="1"/>
  <c r="S561" i="1"/>
  <c r="V561" i="1" s="1"/>
  <c r="I903" i="1"/>
  <c r="X561" i="1" l="1"/>
  <c r="AB561" i="1" s="1"/>
  <c r="A561" i="1" s="1"/>
  <c r="D23" i="36" l="1"/>
  <c r="Z725" i="1" l="1"/>
  <c r="Y725" i="1"/>
  <c r="X725" i="1"/>
  <c r="AA884" i="1" l="1"/>
  <c r="Z884" i="1"/>
  <c r="Y884" i="1"/>
  <c r="W884" i="1"/>
  <c r="X884" i="1" s="1"/>
  <c r="Z876" i="1"/>
  <c r="Y876" i="1"/>
  <c r="W876" i="1"/>
  <c r="X876" i="1" s="1"/>
  <c r="Z882" i="1"/>
  <c r="Y882" i="1"/>
  <c r="W882" i="1"/>
  <c r="AA882" i="1" s="1"/>
  <c r="AA878" i="1"/>
  <c r="Z878" i="1"/>
  <c r="Y878" i="1"/>
  <c r="W878" i="1"/>
  <c r="X878" i="1" s="1"/>
  <c r="AA888" i="1"/>
  <c r="Z888" i="1"/>
  <c r="Y888" i="1"/>
  <c r="W888" i="1"/>
  <c r="X888" i="1" s="1"/>
  <c r="AB884" i="1" l="1"/>
  <c r="AA876" i="1"/>
  <c r="AB876" i="1" s="1"/>
  <c r="X882" i="1"/>
  <c r="AB882" i="1" s="1"/>
  <c r="A882" i="1" s="1"/>
  <c r="AB878" i="1"/>
  <c r="A878" i="1" s="1"/>
  <c r="AB888" i="1"/>
  <c r="X899" i="1"/>
  <c r="X897" i="1"/>
  <c r="X896" i="1"/>
  <c r="X895" i="1"/>
  <c r="X902" i="1"/>
  <c r="X894" i="1"/>
  <c r="X893" i="1"/>
  <c r="X860" i="1"/>
  <c r="X859" i="1"/>
  <c r="X858" i="1"/>
  <c r="X857" i="1"/>
  <c r="X856" i="1"/>
  <c r="X891" i="1"/>
  <c r="X890" i="1"/>
  <c r="X887" i="1"/>
  <c r="X886" i="1"/>
  <c r="X883" i="1"/>
  <c r="X880" i="1"/>
  <c r="X877" i="1"/>
  <c r="X874" i="1"/>
  <c r="X872" i="1"/>
  <c r="X871" i="1"/>
  <c r="X870" i="1"/>
  <c r="X869" i="1"/>
  <c r="X868" i="1"/>
  <c r="X867" i="1"/>
  <c r="X866" i="1"/>
  <c r="X865" i="1"/>
  <c r="X864" i="1"/>
  <c r="X863" i="1"/>
  <c r="X862" i="1"/>
  <c r="X861" i="1"/>
  <c r="A888" i="1" l="1"/>
  <c r="A884" i="1"/>
  <c r="A876" i="1"/>
  <c r="R902" i="1" l="1"/>
  <c r="Q902" i="1"/>
  <c r="P902" i="1"/>
  <c r="O902" i="1"/>
  <c r="N902" i="1"/>
  <c r="M902" i="1"/>
  <c r="L902" i="1"/>
  <c r="K902" i="1"/>
  <c r="J902" i="1"/>
  <c r="AB929" i="1" l="1"/>
  <c r="AB930" i="1"/>
  <c r="AB931" i="1"/>
  <c r="AA844" i="1" l="1"/>
  <c r="Z844" i="1"/>
  <c r="Y844" i="1"/>
  <c r="AA839" i="1" l="1"/>
  <c r="Z839" i="1"/>
  <c r="Y839" i="1"/>
  <c r="AA835" i="1"/>
  <c r="Z835" i="1"/>
  <c r="Y835" i="1"/>
  <c r="R903" i="1" l="1"/>
  <c r="Q903" i="1"/>
  <c r="P903" i="1"/>
  <c r="O903" i="1"/>
  <c r="N903" i="1"/>
  <c r="M903" i="1"/>
  <c r="K903" i="1"/>
  <c r="J903" i="1"/>
  <c r="AA902" i="1"/>
  <c r="Z902" i="1"/>
  <c r="AA881" i="1" l="1"/>
  <c r="Y881" i="1"/>
  <c r="W881" i="1"/>
  <c r="X881" i="1" s="1"/>
  <c r="AA880" i="1"/>
  <c r="Z880" i="1"/>
  <c r="W880" i="1"/>
  <c r="Y889" i="1"/>
  <c r="W889" i="1"/>
  <c r="X889" i="1" s="1"/>
  <c r="AA887" i="1"/>
  <c r="Z887" i="1"/>
  <c r="W887" i="1"/>
  <c r="AA886" i="1"/>
  <c r="Z886" i="1"/>
  <c r="Y886" i="1"/>
  <c r="Y885" i="1"/>
  <c r="W885" i="1"/>
  <c r="X885" i="1" s="1"/>
  <c r="AA883" i="1"/>
  <c r="Z883" i="1"/>
  <c r="W883" i="1"/>
  <c r="Y879" i="1"/>
  <c r="W879" i="1"/>
  <c r="X879" i="1" s="1"/>
  <c r="AA877" i="1"/>
  <c r="Z877" i="1"/>
  <c r="W877" i="1"/>
  <c r="AA875" i="1"/>
  <c r="Y875" i="1"/>
  <c r="W875" i="1"/>
  <c r="X875" i="1" s="1"/>
  <c r="AA874" i="1"/>
  <c r="Z874" i="1"/>
  <c r="Y874" i="1"/>
  <c r="AA885" i="1" l="1"/>
  <c r="AA879" i="1"/>
  <c r="AA889" i="1"/>
  <c r="Y887" i="1"/>
  <c r="AB887" i="1" s="1"/>
  <c r="Y880" i="1"/>
  <c r="AB880" i="1" s="1"/>
  <c r="Z889" i="1"/>
  <c r="Y877" i="1"/>
  <c r="AB877" i="1" s="1"/>
  <c r="A877" i="1" s="1"/>
  <c r="Y883" i="1"/>
  <c r="AB883" i="1" s="1"/>
  <c r="Z875" i="1"/>
  <c r="Z881" i="1"/>
  <c r="Z879" i="1"/>
  <c r="Z885" i="1"/>
  <c r="AB886" i="1"/>
  <c r="AB874" i="1"/>
  <c r="U580" i="1"/>
  <c r="S570" i="1"/>
  <c r="S569" i="1"/>
  <c r="U564" i="1"/>
  <c r="S553" i="1"/>
  <c r="AB889" i="1" l="1"/>
  <c r="W932" i="1" s="1"/>
  <c r="A883" i="1"/>
  <c r="A880" i="1"/>
  <c r="V564" i="1"/>
  <c r="Z569" i="1"/>
  <c r="D569" i="1" s="1"/>
  <c r="V553" i="1"/>
  <c r="Z570" i="1"/>
  <c r="D570" i="1" s="1"/>
  <c r="V580" i="1"/>
  <c r="AB881" i="1"/>
  <c r="AB879" i="1"/>
  <c r="A879" i="1" s="1"/>
  <c r="AB885" i="1"/>
  <c r="A885" i="1" s="1"/>
  <c r="AB875" i="1"/>
  <c r="A887" i="1"/>
  <c r="W642" i="1"/>
  <c r="W933" i="1" l="1"/>
  <c r="A889" i="1"/>
  <c r="A886" i="1"/>
  <c r="A875" i="1"/>
  <c r="A881" i="1"/>
  <c r="A874" i="1"/>
  <c r="AA630" i="1"/>
  <c r="Y630" i="1"/>
  <c r="X630" i="1"/>
  <c r="W630" i="1"/>
  <c r="AA629" i="1"/>
  <c r="Y629" i="1"/>
  <c r="X629" i="1"/>
  <c r="W629" i="1"/>
  <c r="AA638" i="1"/>
  <c r="Y638" i="1"/>
  <c r="X638" i="1"/>
  <c r="W638" i="1"/>
  <c r="Y631" i="1"/>
  <c r="Y628" i="1"/>
  <c r="Y627" i="1"/>
  <c r="Y626" i="1"/>
  <c r="Y637" i="1"/>
  <c r="Y636" i="1"/>
  <c r="Y633" i="1"/>
  <c r="Y635" i="1"/>
  <c r="Y634" i="1"/>
  <c r="Y632" i="1"/>
  <c r="W628" i="1"/>
  <c r="W627" i="1"/>
  <c r="W626" i="1"/>
  <c r="W637" i="1"/>
  <c r="W636" i="1"/>
  <c r="W633" i="1"/>
  <c r="W635" i="1"/>
  <c r="W634" i="1"/>
  <c r="W632" i="1"/>
  <c r="Z629" i="1" l="1"/>
  <c r="D629" i="1" s="1"/>
  <c r="Z630" i="1"/>
  <c r="D630" i="1" s="1"/>
  <c r="Z638" i="1"/>
  <c r="D638" i="1" s="1"/>
  <c r="Z635" i="1"/>
  <c r="D635" i="1" s="1"/>
  <c r="Z633" i="1"/>
  <c r="D633" i="1" s="1"/>
  <c r="Z628" i="1"/>
  <c r="D628" i="1" s="1"/>
  <c r="Z636" i="1"/>
  <c r="D636" i="1" s="1"/>
  <c r="Z637" i="1"/>
  <c r="D637" i="1" s="1"/>
  <c r="Z626" i="1"/>
  <c r="D626" i="1" s="1"/>
  <c r="Z632" i="1"/>
  <c r="D632" i="1" s="1"/>
  <c r="Z627" i="1"/>
  <c r="D627" i="1" s="1"/>
  <c r="Z634" i="1"/>
  <c r="D634" i="1" s="1"/>
  <c r="G767" i="1"/>
  <c r="G769" i="1" l="1"/>
  <c r="G757" i="1"/>
  <c r="G753" i="1"/>
  <c r="G749" i="1"/>
  <c r="G745" i="1"/>
  <c r="G740" i="1"/>
  <c r="G736" i="1"/>
  <c r="G732" i="1"/>
  <c r="G728" i="1"/>
  <c r="G723" i="1"/>
  <c r="G719" i="1"/>
  <c r="G715" i="1"/>
  <c r="G711" i="1"/>
  <c r="G707" i="1"/>
  <c r="G703" i="1"/>
  <c r="G699" i="1"/>
  <c r="G695" i="1"/>
  <c r="G691" i="1"/>
  <c r="G687" i="1"/>
  <c r="G752" i="1"/>
  <c r="G735" i="1"/>
  <c r="G727" i="1"/>
  <c r="G718" i="1"/>
  <c r="G710" i="1"/>
  <c r="G702" i="1"/>
  <c r="G690" i="1"/>
  <c r="G768" i="1"/>
  <c r="G756" i="1"/>
  <c r="G759" i="1"/>
  <c r="G755" i="1"/>
  <c r="G751" i="1"/>
  <c r="G747" i="1"/>
  <c r="G743" i="1"/>
  <c r="G738" i="1"/>
  <c r="G734" i="1"/>
  <c r="G730" i="1"/>
  <c r="G726" i="1"/>
  <c r="G721" i="1"/>
  <c r="G717" i="1"/>
  <c r="G713" i="1"/>
  <c r="G709" i="1"/>
  <c r="G705" i="1"/>
  <c r="G701" i="1"/>
  <c r="G697" i="1"/>
  <c r="G693" i="1"/>
  <c r="G689" i="1"/>
  <c r="G685" i="1"/>
  <c r="G744" i="1"/>
  <c r="G698" i="1"/>
  <c r="G770" i="1"/>
  <c r="G758" i="1"/>
  <c r="G754" i="1"/>
  <c r="G750" i="1"/>
  <c r="G746" i="1"/>
  <c r="G742" i="1"/>
  <c r="G737" i="1"/>
  <c r="G733" i="1"/>
  <c r="G729" i="1"/>
  <c r="G725" i="1"/>
  <c r="G720" i="1"/>
  <c r="G716" i="1"/>
  <c r="G712" i="1"/>
  <c r="G708" i="1"/>
  <c r="G704" i="1"/>
  <c r="G700" i="1"/>
  <c r="G696" i="1"/>
  <c r="G692" i="1"/>
  <c r="G688" i="1"/>
  <c r="G748" i="1"/>
  <c r="G739" i="1"/>
  <c r="G731" i="1"/>
  <c r="G722" i="1"/>
  <c r="G714" i="1"/>
  <c r="G706" i="1"/>
  <c r="G694" i="1"/>
  <c r="G686" i="1"/>
  <c r="F5" i="36"/>
  <c r="F7" i="36"/>
  <c r="F6" i="36"/>
  <c r="AB630" i="1"/>
  <c r="A630" i="1" s="1"/>
  <c r="AB638" i="1"/>
  <c r="AB629" i="1"/>
  <c r="A629" i="1" s="1"/>
  <c r="AB933" i="1"/>
  <c r="AA933" i="1"/>
  <c r="AB932" i="1"/>
  <c r="AA932" i="1"/>
  <c r="AA931" i="1"/>
  <c r="AA930" i="1"/>
  <c r="AA929" i="1"/>
  <c r="F9" i="36" l="1"/>
  <c r="AA565" i="1"/>
  <c r="Z565" i="1"/>
  <c r="X565" i="1"/>
  <c r="W565" i="1"/>
  <c r="AA628" i="1"/>
  <c r="X628" i="1"/>
  <c r="AA564" i="1"/>
  <c r="Z564" i="1"/>
  <c r="Y564" i="1"/>
  <c r="F12" i="36" l="1"/>
  <c r="Y565" i="1"/>
  <c r="AB565" i="1" s="1"/>
  <c r="A565" i="1" s="1"/>
  <c r="AB628" i="1"/>
  <c r="A628" i="1" s="1"/>
  <c r="S244" i="1"/>
  <c r="S243" i="1"/>
  <c r="W898" i="1"/>
  <c r="X898" i="1" s="1"/>
  <c r="X903" i="1"/>
  <c r="Z742" i="1"/>
  <c r="Y742" i="1"/>
  <c r="X742" i="1"/>
  <c r="W739" i="1" l="1"/>
  <c r="AA739" i="1" s="1"/>
  <c r="AB739" i="1" s="1"/>
  <c r="A739" i="1" s="1"/>
  <c r="W751" i="1"/>
  <c r="W706" i="1"/>
  <c r="W744" i="1"/>
  <c r="W679" i="1"/>
  <c r="W728" i="1"/>
  <c r="W677" i="1"/>
  <c r="W754" i="1"/>
  <c r="W723" i="1"/>
  <c r="AA723" i="1" s="1"/>
  <c r="AB723" i="1" s="1"/>
  <c r="A723" i="1" s="1"/>
  <c r="W736" i="1"/>
  <c r="W698" i="1"/>
  <c r="W763" i="1"/>
  <c r="W750" i="1"/>
  <c r="W708" i="1"/>
  <c r="W705" i="1"/>
  <c r="W738" i="1"/>
  <c r="W733" i="1"/>
  <c r="W711" i="1"/>
  <c r="W758" i="1"/>
  <c r="AA758" i="1" s="1"/>
  <c r="AB758" i="1" s="1"/>
  <c r="A758" i="1" s="1"/>
  <c r="W727" i="1"/>
  <c r="W700" i="1"/>
  <c r="W753" i="1"/>
  <c r="W673" i="1"/>
  <c r="W713" i="1"/>
  <c r="W748" i="1"/>
  <c r="W683" i="1"/>
  <c r="W688" i="1"/>
  <c r="AA688" i="1" s="1"/>
  <c r="AB688" i="1" s="1"/>
  <c r="W704" i="1"/>
  <c r="W734" i="1"/>
  <c r="W717" i="1"/>
  <c r="W735" i="1"/>
  <c r="W726" i="1"/>
  <c r="W703" i="1"/>
  <c r="W732" i="1"/>
  <c r="AA732" i="1" s="1"/>
  <c r="AB732" i="1" s="1"/>
  <c r="W694" i="1"/>
  <c r="W695" i="1"/>
  <c r="W755" i="1"/>
  <c r="AA755" i="1" s="1"/>
  <c r="AB755" i="1" s="1"/>
  <c r="A755" i="1" s="1"/>
  <c r="W687" i="1"/>
  <c r="AA687" i="1" s="1"/>
  <c r="AB687" i="1" s="1"/>
  <c r="A687" i="1" s="1"/>
  <c r="W737" i="1"/>
  <c r="W701" i="1"/>
  <c r="W764" i="1"/>
  <c r="W721" i="1"/>
  <c r="AA721" i="1" s="1"/>
  <c r="AB721" i="1" s="1"/>
  <c r="A721" i="1" s="1"/>
  <c r="W710" i="1"/>
  <c r="W716" i="1"/>
  <c r="W689" i="1"/>
  <c r="W747" i="1"/>
  <c r="W690" i="1"/>
  <c r="AA690" i="1" s="1"/>
  <c r="AB690" i="1" s="1"/>
  <c r="A690" i="1" s="1"/>
  <c r="W722" i="1"/>
  <c r="AA722" i="1" s="1"/>
  <c r="AB722" i="1" s="1"/>
  <c r="A722" i="1" s="1"/>
  <c r="W702" i="1"/>
  <c r="W712" i="1"/>
  <c r="W696" i="1"/>
  <c r="W714" i="1"/>
  <c r="W668" i="1"/>
  <c r="W749" i="1"/>
  <c r="W730" i="1"/>
  <c r="W765" i="1"/>
  <c r="W674" i="1"/>
  <c r="W746" i="1"/>
  <c r="W686" i="1"/>
  <c r="AA686" i="1" s="1"/>
  <c r="AB686" i="1" s="1"/>
  <c r="A686" i="1" s="1"/>
  <c r="W669" i="1"/>
  <c r="W720" i="1"/>
  <c r="AA720" i="1" s="1"/>
  <c r="AB720" i="1" s="1"/>
  <c r="A720" i="1" s="1"/>
  <c r="W718" i="1"/>
  <c r="W692" i="1"/>
  <c r="W693" i="1"/>
  <c r="W731" i="1"/>
  <c r="W745" i="1"/>
  <c r="W691" i="1"/>
  <c r="W743" i="1"/>
  <c r="AA743" i="1" s="1"/>
  <c r="AB743" i="1" s="1"/>
  <c r="A743" i="1" s="1"/>
  <c r="W670" i="1"/>
  <c r="W676" i="1"/>
  <c r="W671" i="1"/>
  <c r="W761" i="1"/>
  <c r="W757" i="1"/>
  <c r="AA757" i="1" s="1"/>
  <c r="AB757" i="1" s="1"/>
  <c r="A757" i="1" s="1"/>
  <c r="W709" i="1"/>
  <c r="W707" i="1"/>
  <c r="W682" i="1"/>
  <c r="W762" i="1"/>
  <c r="W752" i="1"/>
  <c r="W672" i="1"/>
  <c r="W766" i="1"/>
  <c r="W725" i="1"/>
  <c r="AA725" i="1" s="1"/>
  <c r="AB725" i="1" s="1"/>
  <c r="A725" i="1" s="1"/>
  <c r="W715" i="1"/>
  <c r="W681" i="1"/>
  <c r="W697" i="1"/>
  <c r="W719" i="1"/>
  <c r="W675" i="1"/>
  <c r="W729" i="1"/>
  <c r="W767" i="1"/>
  <c r="W759" i="1"/>
  <c r="AA759" i="1" s="1"/>
  <c r="AB759" i="1" s="1"/>
  <c r="A759" i="1" s="1"/>
  <c r="W740" i="1"/>
  <c r="AA740" i="1" s="1"/>
  <c r="AB740" i="1" s="1"/>
  <c r="A740" i="1" s="1"/>
  <c r="W699" i="1"/>
  <c r="W756" i="1"/>
  <c r="AA756" i="1" s="1"/>
  <c r="AB756" i="1" s="1"/>
  <c r="A756" i="1" s="1"/>
  <c r="AA912" i="1"/>
  <c r="Z912" i="1"/>
  <c r="Y912" i="1"/>
  <c r="AA911" i="1"/>
  <c r="Z911" i="1"/>
  <c r="Y911" i="1"/>
  <c r="AA568" i="1" l="1"/>
  <c r="Z568" i="1"/>
  <c r="Y568" i="1"/>
  <c r="U568" i="1"/>
  <c r="V568" i="1" l="1"/>
  <c r="AA826" i="1"/>
  <c r="Z826" i="1"/>
  <c r="Y826" i="1"/>
  <c r="X826" i="1"/>
  <c r="AB826" i="1" l="1"/>
  <c r="AA900" i="1"/>
  <c r="Z900" i="1"/>
  <c r="Y900" i="1"/>
  <c r="W900" i="1"/>
  <c r="X900" i="1" s="1"/>
  <c r="X922" i="1" s="1"/>
  <c r="AB900" i="1" l="1"/>
  <c r="A900" i="1" s="1"/>
  <c r="AA641" i="1"/>
  <c r="U640" i="1"/>
  <c r="D27" i="36"/>
  <c r="Z641" i="1"/>
  <c r="Y641" i="1"/>
  <c r="X641" i="1"/>
  <c r="AB641" i="1" l="1"/>
  <c r="A641" i="1" s="1"/>
  <c r="V640" i="1" l="1"/>
  <c r="Y642" i="1"/>
  <c r="AA642" i="1"/>
  <c r="Z642" i="1"/>
  <c r="X642" i="1"/>
  <c r="AA640" i="1"/>
  <c r="Z640" i="1"/>
  <c r="Y640" i="1"/>
  <c r="AB642" i="1" l="1"/>
  <c r="A642" i="1" s="1"/>
  <c r="W663" i="1"/>
  <c r="AA557" i="1" l="1"/>
  <c r="Y557" i="1"/>
  <c r="X557" i="1"/>
  <c r="S557" i="1"/>
  <c r="AA556" i="1"/>
  <c r="Y556" i="1"/>
  <c r="X556" i="1"/>
  <c r="S556" i="1"/>
  <c r="AA555" i="1"/>
  <c r="Z555" i="1"/>
  <c r="Y555" i="1"/>
  <c r="W555" i="1"/>
  <c r="S555" i="1"/>
  <c r="AA554" i="1"/>
  <c r="Z554" i="1"/>
  <c r="X554" i="1"/>
  <c r="S554" i="1"/>
  <c r="V555" i="1" l="1"/>
  <c r="V554" i="1"/>
  <c r="Z557" i="1"/>
  <c r="V557" i="1"/>
  <c r="Z556" i="1"/>
  <c r="AB556" i="1" s="1"/>
  <c r="V556" i="1"/>
  <c r="Y554" i="1"/>
  <c r="AB554" i="1" s="1"/>
  <c r="A554" i="1" s="1"/>
  <c r="AA593" i="1"/>
  <c r="AA592" i="1"/>
  <c r="AB557" i="1" l="1"/>
  <c r="D557" i="1"/>
  <c r="X555" i="1"/>
  <c r="AB555" i="1" s="1"/>
  <c r="A555" i="1" s="1"/>
  <c r="AA477" i="1"/>
  <c r="Z477" i="1"/>
  <c r="Y477" i="1"/>
  <c r="AA474" i="1"/>
  <c r="Z474" i="1"/>
  <c r="Y474" i="1"/>
  <c r="S63" i="1" l="1"/>
  <c r="S477" i="1"/>
  <c r="S476" i="1"/>
  <c r="S475" i="1"/>
  <c r="S474" i="1"/>
  <c r="AA479" i="1"/>
  <c r="Z479" i="1"/>
  <c r="Y479" i="1"/>
  <c r="X479" i="1"/>
  <c r="AA478" i="1"/>
  <c r="Z478" i="1"/>
  <c r="Y478" i="1"/>
  <c r="S478" i="1"/>
  <c r="AA476" i="1"/>
  <c r="Z476" i="1"/>
  <c r="Y476" i="1"/>
  <c r="AA475" i="1"/>
  <c r="Z475" i="1"/>
  <c r="Y475" i="1"/>
  <c r="AA473" i="1"/>
  <c r="Z473" i="1"/>
  <c r="Y473" i="1"/>
  <c r="S473" i="1"/>
  <c r="AA472" i="1"/>
  <c r="Z472" i="1"/>
  <c r="Y472" i="1"/>
  <c r="S472" i="1"/>
  <c r="AA471" i="1"/>
  <c r="Z471" i="1"/>
  <c r="Y471" i="1"/>
  <c r="S471" i="1"/>
  <c r="AA470" i="1"/>
  <c r="Z470" i="1"/>
  <c r="Y470" i="1"/>
  <c r="S470" i="1"/>
  <c r="AA469" i="1"/>
  <c r="Z469" i="1"/>
  <c r="Y469" i="1"/>
  <c r="S469" i="1"/>
  <c r="AA468" i="1"/>
  <c r="Z468" i="1"/>
  <c r="Y468" i="1"/>
  <c r="S468" i="1"/>
  <c r="AA467" i="1"/>
  <c r="Z467" i="1"/>
  <c r="Y467" i="1"/>
  <c r="S467" i="1"/>
  <c r="AA466" i="1"/>
  <c r="Z466" i="1"/>
  <c r="Y466" i="1"/>
  <c r="S466" i="1"/>
  <c r="AA465" i="1"/>
  <c r="Z465" i="1"/>
  <c r="Y465" i="1"/>
  <c r="S465" i="1"/>
  <c r="AA464" i="1"/>
  <c r="Z464" i="1"/>
  <c r="Y464" i="1"/>
  <c r="S464" i="1"/>
  <c r="AA463" i="1"/>
  <c r="Z463" i="1"/>
  <c r="Y463" i="1"/>
  <c r="X463" i="1"/>
  <c r="F762" i="1"/>
  <c r="F763" i="1" s="1"/>
  <c r="F764" i="1" s="1"/>
  <c r="F765" i="1" s="1"/>
  <c r="AA619" i="1"/>
  <c r="Y619" i="1"/>
  <c r="X619" i="1"/>
  <c r="Z766" i="1"/>
  <c r="Y766" i="1"/>
  <c r="X766" i="1"/>
  <c r="Z764" i="1"/>
  <c r="Y764" i="1"/>
  <c r="X764" i="1"/>
  <c r="Z763" i="1"/>
  <c r="Y763" i="1"/>
  <c r="X763" i="1"/>
  <c r="Z762" i="1"/>
  <c r="Y762" i="1"/>
  <c r="X762" i="1"/>
  <c r="Z761" i="1"/>
  <c r="Y761" i="1"/>
  <c r="X761" i="1"/>
  <c r="W66" i="1"/>
  <c r="W65" i="1"/>
  <c r="W64" i="1"/>
  <c r="W63" i="1"/>
  <c r="W62" i="1"/>
  <c r="AA74" i="1"/>
  <c r="Z74" i="1"/>
  <c r="Y74" i="1"/>
  <c r="W74" i="1"/>
  <c r="AA73" i="1"/>
  <c r="Z73" i="1"/>
  <c r="Y73" i="1"/>
  <c r="W73" i="1"/>
  <c r="AA72" i="1"/>
  <c r="Z72" i="1"/>
  <c r="Y72" i="1"/>
  <c r="W72" i="1"/>
  <c r="AA71" i="1"/>
  <c r="Z71" i="1"/>
  <c r="Y71" i="1"/>
  <c r="W71" i="1"/>
  <c r="AA70" i="1"/>
  <c r="Z70" i="1"/>
  <c r="Y70" i="1"/>
  <c r="W70" i="1"/>
  <c r="AA69" i="1"/>
  <c r="Z69" i="1"/>
  <c r="Y69" i="1"/>
  <c r="W69" i="1"/>
  <c r="AA68" i="1"/>
  <c r="Z68" i="1"/>
  <c r="Y68" i="1"/>
  <c r="W68" i="1"/>
  <c r="AA67" i="1"/>
  <c r="Z67" i="1"/>
  <c r="Y67" i="1"/>
  <c r="W67" i="1"/>
  <c r="AA66" i="1"/>
  <c r="Z66" i="1"/>
  <c r="Y66" i="1"/>
  <c r="AA65" i="1"/>
  <c r="Z65" i="1"/>
  <c r="Y65" i="1"/>
  <c r="AA64" i="1"/>
  <c r="Z64" i="1"/>
  <c r="Y64" i="1"/>
  <c r="AA63" i="1"/>
  <c r="Z63" i="1"/>
  <c r="Y63" i="1"/>
  <c r="AA62" i="1"/>
  <c r="Z62" i="1"/>
  <c r="Y62" i="1"/>
  <c r="AA61" i="1"/>
  <c r="Z61" i="1"/>
  <c r="Y61" i="1"/>
  <c r="W61" i="1"/>
  <c r="AA60" i="1"/>
  <c r="Z60" i="1"/>
  <c r="Y60" i="1"/>
  <c r="W60" i="1"/>
  <c r="S74" i="1"/>
  <c r="S73" i="1"/>
  <c r="S72" i="1"/>
  <c r="S71" i="1"/>
  <c r="S70" i="1"/>
  <c r="S69" i="1"/>
  <c r="S68" i="1"/>
  <c r="S67" i="1"/>
  <c r="S66" i="1"/>
  <c r="S65" i="1"/>
  <c r="S64" i="1"/>
  <c r="S62" i="1"/>
  <c r="S61" i="1"/>
  <c r="S60" i="1"/>
  <c r="F479" i="1" l="1"/>
  <c r="E479" i="1" s="1"/>
  <c r="A479" i="1"/>
  <c r="V474" i="1"/>
  <c r="V477" i="1"/>
  <c r="V466" i="1"/>
  <c r="V465" i="1"/>
  <c r="V473" i="1"/>
  <c r="V478" i="1"/>
  <c r="V468" i="1"/>
  <c r="A463" i="1"/>
  <c r="V467" i="1"/>
  <c r="V471" i="1"/>
  <c r="V476" i="1"/>
  <c r="V464" i="1"/>
  <c r="V469" i="1"/>
  <c r="V470" i="1"/>
  <c r="V475" i="1"/>
  <c r="V472" i="1"/>
  <c r="V64" i="1"/>
  <c r="V68" i="1"/>
  <c r="X68" i="1" s="1"/>
  <c r="AB68" i="1" s="1"/>
  <c r="A68" i="1" s="1"/>
  <c r="V61" i="1"/>
  <c r="X61" i="1" s="1"/>
  <c r="V66" i="1"/>
  <c r="X66" i="1" s="1"/>
  <c r="AB66" i="1" s="1"/>
  <c r="A66" i="1" s="1"/>
  <c r="V62" i="1"/>
  <c r="X62" i="1" s="1"/>
  <c r="AB62" i="1" s="1"/>
  <c r="A62" i="1" s="1"/>
  <c r="V60" i="1"/>
  <c r="V69" i="1"/>
  <c r="V70" i="1"/>
  <c r="X70" i="1" s="1"/>
  <c r="AB70" i="1" s="1"/>
  <c r="A70" i="1" s="1"/>
  <c r="V71" i="1"/>
  <c r="X71" i="1" s="1"/>
  <c r="AB71" i="1" s="1"/>
  <c r="A71" i="1" s="1"/>
  <c r="V72" i="1"/>
  <c r="V73" i="1"/>
  <c r="X73" i="1" s="1"/>
  <c r="AB73" i="1" s="1"/>
  <c r="A73" i="1" s="1"/>
  <c r="V74" i="1"/>
  <c r="X74" i="1" s="1"/>
  <c r="AB74" i="1" s="1"/>
  <c r="A74" i="1" s="1"/>
  <c r="V67" i="1"/>
  <c r="V65" i="1"/>
  <c r="V63" i="1"/>
  <c r="W805" i="1"/>
  <c r="W804" i="1"/>
  <c r="W811" i="1" s="1"/>
  <c r="W803" i="1"/>
  <c r="W802" i="1"/>
  <c r="W801" i="1"/>
  <c r="AA801" i="1"/>
  <c r="Z801" i="1"/>
  <c r="Y801" i="1"/>
  <c r="G479" i="1" l="1"/>
  <c r="AB61" i="1"/>
  <c r="A61" i="1" s="1"/>
  <c r="X65" i="1"/>
  <c r="AB65" i="1" s="1"/>
  <c r="A65" i="1" s="1"/>
  <c r="X69" i="1"/>
  <c r="X67" i="1"/>
  <c r="AB67" i="1" s="1"/>
  <c r="A67" i="1" s="1"/>
  <c r="X60" i="1"/>
  <c r="X72" i="1"/>
  <c r="AB72" i="1" s="1"/>
  <c r="A72" i="1" s="1"/>
  <c r="X63" i="1"/>
  <c r="X64" i="1"/>
  <c r="W905" i="1"/>
  <c r="AA795" i="1"/>
  <c r="Z795" i="1"/>
  <c r="Y795" i="1"/>
  <c r="AB69" i="1" l="1"/>
  <c r="A69" i="1" s="1"/>
  <c r="AB64" i="1"/>
  <c r="A64" i="1" s="1"/>
  <c r="AB63" i="1"/>
  <c r="A63" i="1" s="1"/>
  <c r="AB60" i="1"/>
  <c r="A60" i="1" s="1"/>
  <c r="Z619" i="1"/>
  <c r="D619" i="1" s="1"/>
  <c r="Z593" i="1"/>
  <c r="Y593" i="1"/>
  <c r="U593" i="1"/>
  <c r="AB619" i="1" l="1"/>
  <c r="A619" i="1" s="1"/>
  <c r="V593" i="1"/>
  <c r="W806" i="1"/>
  <c r="W800" i="1"/>
  <c r="W799" i="1"/>
  <c r="W798" i="1"/>
  <c r="W797" i="1"/>
  <c r="W796" i="1"/>
  <c r="W794" i="1"/>
  <c r="W793" i="1"/>
  <c r="W792" i="1"/>
  <c r="W791" i="1"/>
  <c r="W790" i="1"/>
  <c r="W789" i="1"/>
  <c r="W788" i="1"/>
  <c r="W657" i="1"/>
  <c r="W646" i="1"/>
  <c r="W610" i="1"/>
  <c r="W550" i="1"/>
  <c r="W553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W156" i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W116" i="1"/>
  <c r="W115" i="1"/>
  <c r="W114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W100" i="1"/>
  <c r="W99" i="1"/>
  <c r="W98" i="1"/>
  <c r="W97" i="1"/>
  <c r="W96" i="1"/>
  <c r="W95" i="1"/>
  <c r="W94" i="1"/>
  <c r="W93" i="1"/>
  <c r="W92" i="1"/>
  <c r="W91" i="1"/>
  <c r="W90" i="1"/>
  <c r="W89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W75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W9" i="1"/>
  <c r="W8" i="1"/>
  <c r="W7" i="1"/>
  <c r="W6" i="1"/>
  <c r="W5" i="1"/>
  <c r="W4" i="1"/>
  <c r="W3" i="1"/>
  <c r="W656" i="1" l="1"/>
  <c r="W655" i="1"/>
  <c r="W661" i="1" s="1"/>
  <c r="W654" i="1"/>
  <c r="W660" i="1" s="1"/>
  <c r="W649" i="1"/>
  <c r="W659" i="1" s="1"/>
  <c r="W648" i="1"/>
  <c r="W658" i="1" s="1"/>
  <c r="D10" i="36"/>
  <c r="D3" i="36"/>
  <c r="W585" i="1"/>
  <c r="W650" i="1" l="1"/>
  <c r="W623" i="1"/>
  <c r="W589" i="1"/>
  <c r="X589" i="1" s="1"/>
  <c r="AB589" i="1" s="1"/>
  <c r="A589" i="1" s="1"/>
  <c r="W568" i="1"/>
  <c r="W564" i="1"/>
  <c r="W593" i="1"/>
  <c r="W477" i="1"/>
  <c r="W474" i="1"/>
  <c r="W471" i="1"/>
  <c r="W467" i="1"/>
  <c r="W476" i="1"/>
  <c r="W472" i="1"/>
  <c r="W468" i="1"/>
  <c r="W464" i="1"/>
  <c r="W478" i="1"/>
  <c r="W473" i="1"/>
  <c r="W469" i="1"/>
  <c r="W465" i="1"/>
  <c r="W470" i="1"/>
  <c r="W466" i="1"/>
  <c r="W475" i="1"/>
  <c r="W600" i="1"/>
  <c r="W587" i="1"/>
  <c r="W539" i="1"/>
  <c r="W531" i="1"/>
  <c r="W523" i="1"/>
  <c r="W515" i="1"/>
  <c r="W507" i="1"/>
  <c r="W499" i="1"/>
  <c r="W491" i="1"/>
  <c r="W483" i="1"/>
  <c r="W456" i="1"/>
  <c r="W448" i="1"/>
  <c r="W440" i="1"/>
  <c r="W432" i="1"/>
  <c r="W424" i="1"/>
  <c r="W416" i="1"/>
  <c r="W408" i="1"/>
  <c r="W400" i="1"/>
  <c r="W390" i="1"/>
  <c r="W382" i="1"/>
  <c r="W374" i="1"/>
  <c r="W366" i="1"/>
  <c r="W358" i="1"/>
  <c r="W350" i="1"/>
  <c r="W342" i="1"/>
  <c r="W334" i="1"/>
  <c r="W326" i="1"/>
  <c r="W318" i="1"/>
  <c r="W310" i="1"/>
  <c r="W302" i="1"/>
  <c r="W294" i="1"/>
  <c r="W284" i="1"/>
  <c r="W276" i="1"/>
  <c r="W268" i="1"/>
  <c r="W260" i="1"/>
  <c r="W252" i="1"/>
  <c r="W244" i="1"/>
  <c r="W236" i="1"/>
  <c r="W228" i="1"/>
  <c r="W220" i="1"/>
  <c r="W212" i="1"/>
  <c r="W204" i="1"/>
  <c r="W196" i="1"/>
  <c r="W188" i="1"/>
  <c r="W461" i="1"/>
  <c r="W429" i="1"/>
  <c r="W379" i="1"/>
  <c r="W347" i="1"/>
  <c r="W307" i="1"/>
  <c r="W281" i="1"/>
  <c r="W249" i="1"/>
  <c r="W217" i="1"/>
  <c r="W329" i="1"/>
  <c r="W271" i="1"/>
  <c r="W231" i="1"/>
  <c r="W199" i="1"/>
  <c r="W533" i="1"/>
  <c r="W509" i="1"/>
  <c r="W458" i="1"/>
  <c r="W426" i="1"/>
  <c r="W402" i="1"/>
  <c r="W368" i="1"/>
  <c r="W336" i="1"/>
  <c r="W304" i="1"/>
  <c r="W599" i="1"/>
  <c r="W586" i="1"/>
  <c r="W538" i="1"/>
  <c r="W530" i="1"/>
  <c r="W522" i="1"/>
  <c r="W514" i="1"/>
  <c r="W506" i="1"/>
  <c r="W498" i="1"/>
  <c r="W490" i="1"/>
  <c r="W482" i="1"/>
  <c r="W455" i="1"/>
  <c r="W447" i="1"/>
  <c r="W439" i="1"/>
  <c r="W431" i="1"/>
  <c r="W423" i="1"/>
  <c r="W415" i="1"/>
  <c r="W407" i="1"/>
  <c r="W399" i="1"/>
  <c r="W389" i="1"/>
  <c r="W381" i="1"/>
  <c r="W373" i="1"/>
  <c r="W365" i="1"/>
  <c r="W357" i="1"/>
  <c r="W349" i="1"/>
  <c r="W341" i="1"/>
  <c r="W333" i="1"/>
  <c r="W325" i="1"/>
  <c r="W317" i="1"/>
  <c r="W309" i="1"/>
  <c r="W301" i="1"/>
  <c r="W293" i="1"/>
  <c r="W283" i="1"/>
  <c r="W275" i="1"/>
  <c r="W267" i="1"/>
  <c r="W259" i="1"/>
  <c r="W251" i="1"/>
  <c r="W243" i="1"/>
  <c r="W235" i="1"/>
  <c r="W227" i="1"/>
  <c r="W219" i="1"/>
  <c r="W211" i="1"/>
  <c r="W203" i="1"/>
  <c r="W195" i="1"/>
  <c r="W187" i="1"/>
  <c r="W453" i="1"/>
  <c r="W421" i="1"/>
  <c r="W387" i="1"/>
  <c r="W363" i="1"/>
  <c r="W331" i="1"/>
  <c r="W273" i="1"/>
  <c r="W241" i="1"/>
  <c r="W209" i="1"/>
  <c r="W193" i="1"/>
  <c r="W353" i="1"/>
  <c r="W263" i="1"/>
  <c r="W501" i="1"/>
  <c r="W418" i="1"/>
  <c r="W360" i="1"/>
  <c r="W597" i="1"/>
  <c r="W583" i="1"/>
  <c r="W537" i="1"/>
  <c r="W529" i="1"/>
  <c r="W521" i="1"/>
  <c r="W513" i="1"/>
  <c r="W505" i="1"/>
  <c r="W497" i="1"/>
  <c r="W489" i="1"/>
  <c r="W481" i="1"/>
  <c r="W454" i="1"/>
  <c r="W446" i="1"/>
  <c r="W438" i="1"/>
  <c r="W430" i="1"/>
  <c r="W422" i="1"/>
  <c r="W414" i="1"/>
  <c r="W406" i="1"/>
  <c r="W396" i="1"/>
  <c r="W388" i="1"/>
  <c r="W380" i="1"/>
  <c r="W372" i="1"/>
  <c r="W364" i="1"/>
  <c r="W356" i="1"/>
  <c r="W348" i="1"/>
  <c r="W340" i="1"/>
  <c r="W332" i="1"/>
  <c r="W324" i="1"/>
  <c r="W316" i="1"/>
  <c r="W308" i="1"/>
  <c r="W300" i="1"/>
  <c r="W292" i="1"/>
  <c r="W282" i="1"/>
  <c r="W274" i="1"/>
  <c r="W266" i="1"/>
  <c r="W258" i="1"/>
  <c r="W250" i="1"/>
  <c r="W242" i="1"/>
  <c r="W234" i="1"/>
  <c r="W226" i="1"/>
  <c r="W218" i="1"/>
  <c r="W210" i="1"/>
  <c r="W202" i="1"/>
  <c r="W194" i="1"/>
  <c r="W504" i="1"/>
  <c r="W413" i="1"/>
  <c r="W355" i="1"/>
  <c r="W257" i="1"/>
  <c r="W337" i="1"/>
  <c r="W247" i="1"/>
  <c r="W207" i="1"/>
  <c r="W590" i="1"/>
  <c r="W525" i="1"/>
  <c r="W493" i="1"/>
  <c r="W442" i="1"/>
  <c r="W392" i="1"/>
  <c r="W352" i="1"/>
  <c r="W296" i="1"/>
  <c r="W595" i="1"/>
  <c r="W582" i="1"/>
  <c r="W544" i="1"/>
  <c r="W536" i="1"/>
  <c r="W528" i="1"/>
  <c r="W520" i="1"/>
  <c r="W512" i="1"/>
  <c r="W496" i="1"/>
  <c r="W445" i="1"/>
  <c r="W405" i="1"/>
  <c r="W323" i="1"/>
  <c r="W225" i="1"/>
  <c r="W215" i="1"/>
  <c r="W592" i="1"/>
  <c r="W580" i="1"/>
  <c r="W543" i="1"/>
  <c r="W535" i="1"/>
  <c r="W527" i="1"/>
  <c r="W519" i="1"/>
  <c r="W511" i="1"/>
  <c r="W503" i="1"/>
  <c r="W495" i="1"/>
  <c r="W487" i="1"/>
  <c r="W460" i="1"/>
  <c r="W452" i="1"/>
  <c r="W444" i="1"/>
  <c r="W436" i="1"/>
  <c r="W428" i="1"/>
  <c r="W420" i="1"/>
  <c r="W412" i="1"/>
  <c r="W404" i="1"/>
  <c r="W394" i="1"/>
  <c r="W386" i="1"/>
  <c r="W378" i="1"/>
  <c r="W370" i="1"/>
  <c r="W362" i="1"/>
  <c r="W354" i="1"/>
  <c r="W346" i="1"/>
  <c r="W338" i="1"/>
  <c r="W330" i="1"/>
  <c r="W322" i="1"/>
  <c r="W314" i="1"/>
  <c r="W306" i="1"/>
  <c r="W298" i="1"/>
  <c r="W290" i="1"/>
  <c r="W280" i="1"/>
  <c r="W272" i="1"/>
  <c r="W264" i="1"/>
  <c r="W256" i="1"/>
  <c r="W248" i="1"/>
  <c r="W240" i="1"/>
  <c r="W232" i="1"/>
  <c r="W224" i="1"/>
  <c r="W216" i="1"/>
  <c r="W208" i="1"/>
  <c r="W200" i="1"/>
  <c r="W192" i="1"/>
  <c r="W606" i="1"/>
  <c r="W591" i="1"/>
  <c r="W542" i="1"/>
  <c r="W534" i="1"/>
  <c r="W526" i="1"/>
  <c r="W518" i="1"/>
  <c r="W510" i="1"/>
  <c r="W502" i="1"/>
  <c r="W494" i="1"/>
  <c r="W486" i="1"/>
  <c r="W459" i="1"/>
  <c r="W451" i="1"/>
  <c r="W443" i="1"/>
  <c r="W435" i="1"/>
  <c r="W427" i="1"/>
  <c r="W419" i="1"/>
  <c r="W411" i="1"/>
  <c r="W403" i="1"/>
  <c r="W393" i="1"/>
  <c r="W385" i="1"/>
  <c r="W377" i="1"/>
  <c r="W369" i="1"/>
  <c r="W345" i="1"/>
  <c r="W321" i="1"/>
  <c r="W313" i="1"/>
  <c r="W305" i="1"/>
  <c r="W297" i="1"/>
  <c r="W289" i="1"/>
  <c r="W279" i="1"/>
  <c r="W239" i="1"/>
  <c r="W223" i="1"/>
  <c r="W604" i="1"/>
  <c r="W541" i="1"/>
  <c r="W517" i="1"/>
  <c r="W485" i="1"/>
  <c r="W434" i="1"/>
  <c r="W410" i="1"/>
  <c r="W376" i="1"/>
  <c r="W344" i="1"/>
  <c r="W312" i="1"/>
  <c r="W588" i="1"/>
  <c r="W540" i="1"/>
  <c r="W532" i="1"/>
  <c r="W524" i="1"/>
  <c r="W516" i="1"/>
  <c r="W508" i="1"/>
  <c r="W500" i="1"/>
  <c r="W492" i="1"/>
  <c r="W484" i="1"/>
  <c r="W457" i="1"/>
  <c r="W449" i="1"/>
  <c r="W441" i="1"/>
  <c r="W433" i="1"/>
  <c r="W425" i="1"/>
  <c r="W417" i="1"/>
  <c r="W409" i="1"/>
  <c r="W401" i="1"/>
  <c r="W391" i="1"/>
  <c r="W383" i="1"/>
  <c r="W375" i="1"/>
  <c r="W367" i="1"/>
  <c r="W359" i="1"/>
  <c r="W351" i="1"/>
  <c r="W343" i="1"/>
  <c r="W335" i="1"/>
  <c r="W327" i="1"/>
  <c r="W319" i="1"/>
  <c r="W311" i="1"/>
  <c r="W303" i="1"/>
  <c r="W295" i="1"/>
  <c r="W285" i="1"/>
  <c r="W277" i="1"/>
  <c r="W269" i="1"/>
  <c r="W261" i="1"/>
  <c r="W253" i="1"/>
  <c r="W245" i="1"/>
  <c r="W237" i="1"/>
  <c r="W229" i="1"/>
  <c r="W221" i="1"/>
  <c r="W213" i="1"/>
  <c r="W205" i="1"/>
  <c r="W197" i="1"/>
  <c r="W189" i="1"/>
  <c r="W488" i="1"/>
  <c r="W437" i="1"/>
  <c r="W395" i="1"/>
  <c r="W371" i="1"/>
  <c r="W339" i="1"/>
  <c r="W315" i="1"/>
  <c r="W299" i="1"/>
  <c r="W291" i="1"/>
  <c r="W265" i="1"/>
  <c r="W233" i="1"/>
  <c r="W201" i="1"/>
  <c r="W361" i="1"/>
  <c r="W255" i="1"/>
  <c r="W191" i="1"/>
  <c r="W450" i="1"/>
  <c r="W384" i="1"/>
  <c r="W328" i="1"/>
  <c r="W278" i="1"/>
  <c r="W214" i="1"/>
  <c r="W270" i="1"/>
  <c r="W206" i="1"/>
  <c r="W190" i="1"/>
  <c r="W286" i="1"/>
  <c r="W262" i="1"/>
  <c r="W198" i="1"/>
  <c r="W254" i="1"/>
  <c r="W246" i="1"/>
  <c r="W238" i="1"/>
  <c r="W320" i="1"/>
  <c r="W230" i="1"/>
  <c r="W222" i="1"/>
  <c r="W562" i="1"/>
  <c r="W567" i="1"/>
  <c r="W598" i="1"/>
  <c r="W560" i="1"/>
  <c r="W662" i="1"/>
  <c r="X465" i="1" l="1"/>
  <c r="AB465" i="1" s="1"/>
  <c r="A465" i="1" s="1"/>
  <c r="X467" i="1"/>
  <c r="AB467" i="1" s="1"/>
  <c r="A467" i="1" s="1"/>
  <c r="X476" i="1"/>
  <c r="AB476" i="1" s="1"/>
  <c r="A476" i="1" s="1"/>
  <c r="X469" i="1"/>
  <c r="AB469" i="1" s="1"/>
  <c r="A469" i="1" s="1"/>
  <c r="X471" i="1"/>
  <c r="AB471" i="1" s="1"/>
  <c r="A471" i="1" s="1"/>
  <c r="X470" i="1"/>
  <c r="AB470" i="1" s="1"/>
  <c r="A470" i="1" s="1"/>
  <c r="X473" i="1"/>
  <c r="AB473" i="1" s="1"/>
  <c r="A473" i="1" s="1"/>
  <c r="X474" i="1"/>
  <c r="AB474" i="1" s="1"/>
  <c r="A474" i="1" s="1"/>
  <c r="X478" i="1"/>
  <c r="AB478" i="1" s="1"/>
  <c r="A478" i="1" s="1"/>
  <c r="X477" i="1"/>
  <c r="AB477" i="1" s="1"/>
  <c r="A477" i="1" s="1"/>
  <c r="X464" i="1"/>
  <c r="AB464" i="1" s="1"/>
  <c r="X593" i="1"/>
  <c r="X475" i="1"/>
  <c r="AB475" i="1" s="1"/>
  <c r="A475" i="1" s="1"/>
  <c r="X468" i="1"/>
  <c r="AB468" i="1" s="1"/>
  <c r="A468" i="1" s="1"/>
  <c r="X564" i="1"/>
  <c r="AB564" i="1" s="1"/>
  <c r="A564" i="1" s="1"/>
  <c r="X466" i="1"/>
  <c r="AB466" i="1" s="1"/>
  <c r="A466" i="1" s="1"/>
  <c r="X472" i="1"/>
  <c r="AB472" i="1" s="1"/>
  <c r="A472" i="1" s="1"/>
  <c r="X568" i="1"/>
  <c r="AB568" i="1" s="1"/>
  <c r="A568" i="1" s="1"/>
  <c r="Z727" i="1"/>
  <c r="Y727" i="1"/>
  <c r="X727" i="1"/>
  <c r="F727" i="1"/>
  <c r="A563" i="1" l="1"/>
  <c r="AB593" i="1"/>
  <c r="A593" i="1" s="1"/>
  <c r="A464" i="1"/>
  <c r="A732" i="1"/>
  <c r="AA837" i="1" l="1"/>
  <c r="Z837" i="1"/>
  <c r="Y837" i="1"/>
  <c r="D948" i="1" l="1"/>
  <c r="G653" i="1" l="1"/>
  <c r="V653" i="1" s="1"/>
  <c r="X653" i="1" s="1"/>
  <c r="AB653" i="1" s="1"/>
  <c r="A653" i="1" s="1"/>
  <c r="G651" i="1"/>
  <c r="V651" i="1" s="1"/>
  <c r="X651" i="1" s="1"/>
  <c r="AB651" i="1" s="1"/>
  <c r="A651" i="1" s="1"/>
  <c r="G652" i="1"/>
  <c r="V652" i="1" s="1"/>
  <c r="X652" i="1" s="1"/>
  <c r="AB652" i="1" s="1"/>
  <c r="A652" i="1" s="1"/>
  <c r="G765" i="1"/>
  <c r="G764" i="1"/>
  <c r="AA764" i="1" s="1"/>
  <c r="G763" i="1"/>
  <c r="AA763" i="1" s="1"/>
  <c r="G762" i="1"/>
  <c r="AA762" i="1" s="1"/>
  <c r="G761" i="1"/>
  <c r="AA761" i="1" s="1"/>
  <c r="G766" i="1"/>
  <c r="AA766" i="1" s="1"/>
  <c r="F801" i="1"/>
  <c r="S801" i="1" s="1"/>
  <c r="V801" i="1" s="1"/>
  <c r="X801" i="1" s="1"/>
  <c r="AB801" i="1" s="1"/>
  <c r="A801" i="1" s="1"/>
  <c r="G649" i="1"/>
  <c r="G660" i="1"/>
  <c r="G656" i="1"/>
  <c r="G663" i="1"/>
  <c r="G654" i="1"/>
  <c r="G662" i="1"/>
  <c r="G658" i="1"/>
  <c r="G659" i="1"/>
  <c r="G650" i="1"/>
  <c r="G661" i="1"/>
  <c r="G657" i="1"/>
  <c r="G655" i="1"/>
  <c r="G648" i="1"/>
  <c r="AA742" i="1"/>
  <c r="F805" i="1"/>
  <c r="F798" i="1"/>
  <c r="F804" i="1"/>
  <c r="F803" i="1"/>
  <c r="F802" i="1"/>
  <c r="F806" i="1"/>
  <c r="F800" i="1"/>
  <c r="AA727" i="1"/>
  <c r="R603" i="1"/>
  <c r="Q603" i="1"/>
  <c r="P603" i="1"/>
  <c r="O603" i="1"/>
  <c r="N603" i="1"/>
  <c r="M603" i="1"/>
  <c r="L603" i="1"/>
  <c r="K603" i="1"/>
  <c r="J603" i="1"/>
  <c r="V601" i="1"/>
  <c r="W601" i="1"/>
  <c r="Z601" i="1" s="1"/>
  <c r="AA601" i="1"/>
  <c r="Y601" i="1"/>
  <c r="X601" i="1"/>
  <c r="AA602" i="1"/>
  <c r="Z602" i="1"/>
  <c r="Y602" i="1"/>
  <c r="U602" i="1"/>
  <c r="S603" i="1" l="1"/>
  <c r="AA603" i="1" s="1"/>
  <c r="AB764" i="1"/>
  <c r="A764" i="1" s="1"/>
  <c r="AB761" i="1"/>
  <c r="A761" i="1" s="1"/>
  <c r="AB766" i="1"/>
  <c r="A766" i="1" s="1"/>
  <c r="AB762" i="1"/>
  <c r="A762" i="1" s="1"/>
  <c r="AB742" i="1"/>
  <c r="A742" i="1" s="1"/>
  <c r="AB727" i="1"/>
  <c r="A727" i="1" s="1"/>
  <c r="V602" i="1"/>
  <c r="X602" i="1" s="1"/>
  <c r="AB763" i="1"/>
  <c r="A763" i="1" s="1"/>
  <c r="AB601" i="1"/>
  <c r="A601" i="1" s="1"/>
  <c r="AB602" i="1" l="1"/>
  <c r="A602" i="1" s="1"/>
  <c r="J101" i="7"/>
  <c r="J100" i="7"/>
  <c r="J99" i="7"/>
  <c r="J98" i="7"/>
  <c r="J97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94" i="7" l="1"/>
  <c r="J95" i="7"/>
  <c r="J96" i="7"/>
  <c r="AA831" i="1" l="1"/>
  <c r="Z831" i="1"/>
  <c r="Y831" i="1"/>
  <c r="X831" i="1"/>
  <c r="C935" i="1"/>
  <c r="Z741" i="1" l="1"/>
  <c r="Y741" i="1"/>
  <c r="X741" i="1"/>
  <c r="AA531" i="1" l="1"/>
  <c r="Z531" i="1"/>
  <c r="Y531" i="1"/>
  <c r="S531" i="1"/>
  <c r="AA530" i="1"/>
  <c r="Z530" i="1"/>
  <c r="Y530" i="1"/>
  <c r="S530" i="1"/>
  <c r="AA529" i="1"/>
  <c r="Z529" i="1"/>
  <c r="Y529" i="1"/>
  <c r="S529" i="1"/>
  <c r="AA528" i="1"/>
  <c r="Z528" i="1"/>
  <c r="Y528" i="1"/>
  <c r="S528" i="1"/>
  <c r="AA527" i="1"/>
  <c r="Z527" i="1"/>
  <c r="Y527" i="1"/>
  <c r="S527" i="1"/>
  <c r="AA526" i="1"/>
  <c r="Z526" i="1"/>
  <c r="Y526" i="1"/>
  <c r="S526" i="1"/>
  <c r="AA525" i="1"/>
  <c r="Z525" i="1"/>
  <c r="Y525" i="1"/>
  <c r="S525" i="1"/>
  <c r="AA524" i="1"/>
  <c r="Z524" i="1"/>
  <c r="Y524" i="1"/>
  <c r="S524" i="1"/>
  <c r="AA523" i="1"/>
  <c r="Z523" i="1"/>
  <c r="Y523" i="1"/>
  <c r="S523" i="1"/>
  <c r="AA522" i="1"/>
  <c r="Z522" i="1"/>
  <c r="Y522" i="1"/>
  <c r="S522" i="1"/>
  <c r="AA521" i="1"/>
  <c r="Z521" i="1"/>
  <c r="Y521" i="1"/>
  <c r="S521" i="1"/>
  <c r="AA520" i="1"/>
  <c r="Z520" i="1"/>
  <c r="Y520" i="1"/>
  <c r="S520" i="1"/>
  <c r="AA519" i="1"/>
  <c r="Z519" i="1"/>
  <c r="Y519" i="1"/>
  <c r="S519" i="1"/>
  <c r="AA449" i="1"/>
  <c r="Z449" i="1"/>
  <c r="Y449" i="1"/>
  <c r="S449" i="1"/>
  <c r="AA448" i="1"/>
  <c r="Z448" i="1"/>
  <c r="Y448" i="1"/>
  <c r="S448" i="1"/>
  <c r="AA447" i="1"/>
  <c r="Z447" i="1"/>
  <c r="Y447" i="1"/>
  <c r="S447" i="1"/>
  <c r="AA446" i="1"/>
  <c r="Z446" i="1"/>
  <c r="Y446" i="1"/>
  <c r="S446" i="1"/>
  <c r="AA445" i="1"/>
  <c r="Z445" i="1"/>
  <c r="Y445" i="1"/>
  <c r="S445" i="1"/>
  <c r="AA444" i="1"/>
  <c r="Z444" i="1"/>
  <c r="Y444" i="1"/>
  <c r="S444" i="1"/>
  <c r="AA443" i="1"/>
  <c r="Z443" i="1"/>
  <c r="Y443" i="1"/>
  <c r="S443" i="1"/>
  <c r="AA442" i="1"/>
  <c r="Z442" i="1"/>
  <c r="Y442" i="1"/>
  <c r="S442" i="1"/>
  <c r="AA441" i="1"/>
  <c r="Z441" i="1"/>
  <c r="Y441" i="1"/>
  <c r="S441" i="1"/>
  <c r="AA440" i="1"/>
  <c r="Z440" i="1"/>
  <c r="Y440" i="1"/>
  <c r="S440" i="1"/>
  <c r="AA439" i="1"/>
  <c r="Z439" i="1"/>
  <c r="Y439" i="1"/>
  <c r="S439" i="1"/>
  <c r="AA438" i="1"/>
  <c r="Z438" i="1"/>
  <c r="Y438" i="1"/>
  <c r="S438" i="1"/>
  <c r="AA437" i="1"/>
  <c r="Z437" i="1"/>
  <c r="Y437" i="1"/>
  <c r="S437" i="1"/>
  <c r="AA148" i="1"/>
  <c r="Z148" i="1"/>
  <c r="Y148" i="1"/>
  <c r="S148" i="1"/>
  <c r="AA147" i="1"/>
  <c r="Z147" i="1"/>
  <c r="Y147" i="1"/>
  <c r="S147" i="1"/>
  <c r="AA146" i="1"/>
  <c r="Z146" i="1"/>
  <c r="Y146" i="1"/>
  <c r="S146" i="1"/>
  <c r="AA145" i="1"/>
  <c r="Z145" i="1"/>
  <c r="Y145" i="1"/>
  <c r="S145" i="1"/>
  <c r="AA144" i="1"/>
  <c r="Z144" i="1"/>
  <c r="Y144" i="1"/>
  <c r="S144" i="1"/>
  <c r="AA143" i="1"/>
  <c r="Z143" i="1"/>
  <c r="Y143" i="1"/>
  <c r="S143" i="1"/>
  <c r="AA142" i="1"/>
  <c r="Z142" i="1"/>
  <c r="Y142" i="1"/>
  <c r="S142" i="1"/>
  <c r="AA141" i="1"/>
  <c r="Z141" i="1"/>
  <c r="Y141" i="1"/>
  <c r="S141" i="1"/>
  <c r="AA140" i="1"/>
  <c r="Z140" i="1"/>
  <c r="Y140" i="1"/>
  <c r="S140" i="1"/>
  <c r="AA139" i="1"/>
  <c r="Z139" i="1"/>
  <c r="Y139" i="1"/>
  <c r="S139" i="1"/>
  <c r="AA138" i="1"/>
  <c r="Z138" i="1"/>
  <c r="Y138" i="1"/>
  <c r="S138" i="1"/>
  <c r="AA137" i="1"/>
  <c r="Z137" i="1"/>
  <c r="Y137" i="1"/>
  <c r="S137" i="1"/>
  <c r="AA136" i="1"/>
  <c r="Z136" i="1"/>
  <c r="Y136" i="1"/>
  <c r="S136" i="1"/>
  <c r="AA43" i="1"/>
  <c r="Z43" i="1"/>
  <c r="Y43" i="1"/>
  <c r="S43" i="1"/>
  <c r="AA49" i="1"/>
  <c r="Z49" i="1"/>
  <c r="Y49" i="1"/>
  <c r="S49" i="1"/>
  <c r="AA48" i="1"/>
  <c r="Z48" i="1"/>
  <c r="Y48" i="1"/>
  <c r="S48" i="1"/>
  <c r="AA47" i="1"/>
  <c r="Z47" i="1"/>
  <c r="Y47" i="1"/>
  <c r="S47" i="1"/>
  <c r="AA46" i="1"/>
  <c r="Z46" i="1"/>
  <c r="Y46" i="1"/>
  <c r="S46" i="1"/>
  <c r="AA45" i="1"/>
  <c r="Z45" i="1"/>
  <c r="Y45" i="1"/>
  <c r="S45" i="1"/>
  <c r="AA44" i="1"/>
  <c r="Z44" i="1"/>
  <c r="Y44" i="1"/>
  <c r="S44" i="1"/>
  <c r="AA42" i="1"/>
  <c r="Z42" i="1"/>
  <c r="Y42" i="1"/>
  <c r="S42" i="1"/>
  <c r="AA41" i="1"/>
  <c r="Z41" i="1"/>
  <c r="Y41" i="1"/>
  <c r="S41" i="1"/>
  <c r="AA40" i="1"/>
  <c r="Z40" i="1"/>
  <c r="Y40" i="1"/>
  <c r="S40" i="1"/>
  <c r="AA39" i="1"/>
  <c r="Z39" i="1"/>
  <c r="Y39" i="1"/>
  <c r="S39" i="1"/>
  <c r="AA38" i="1"/>
  <c r="Z38" i="1"/>
  <c r="Y38" i="1"/>
  <c r="S38" i="1"/>
  <c r="AA37" i="1"/>
  <c r="Z37" i="1"/>
  <c r="Y37" i="1"/>
  <c r="S37" i="1"/>
  <c r="AA396" i="1"/>
  <c r="Z396" i="1"/>
  <c r="Y396" i="1"/>
  <c r="S396" i="1"/>
  <c r="AA395" i="1"/>
  <c r="Z395" i="1"/>
  <c r="Y395" i="1"/>
  <c r="S395" i="1"/>
  <c r="AA394" i="1"/>
  <c r="Z394" i="1"/>
  <c r="Y394" i="1"/>
  <c r="S394" i="1"/>
  <c r="AA393" i="1"/>
  <c r="Z393" i="1"/>
  <c r="Y393" i="1"/>
  <c r="S393" i="1"/>
  <c r="AA392" i="1"/>
  <c r="Z392" i="1"/>
  <c r="Y392" i="1"/>
  <c r="S392" i="1"/>
  <c r="AA391" i="1"/>
  <c r="Z391" i="1"/>
  <c r="Y391" i="1"/>
  <c r="S391" i="1"/>
  <c r="AA390" i="1"/>
  <c r="Z390" i="1"/>
  <c r="Y390" i="1"/>
  <c r="S390" i="1"/>
  <c r="AA389" i="1"/>
  <c r="Z389" i="1"/>
  <c r="Y389" i="1"/>
  <c r="S389" i="1"/>
  <c r="AA388" i="1"/>
  <c r="Z388" i="1"/>
  <c r="Y388" i="1"/>
  <c r="S388" i="1"/>
  <c r="AA387" i="1"/>
  <c r="Z387" i="1"/>
  <c r="Y387" i="1"/>
  <c r="S387" i="1"/>
  <c r="AA386" i="1"/>
  <c r="Z386" i="1"/>
  <c r="Y386" i="1"/>
  <c r="S386" i="1"/>
  <c r="AA385" i="1"/>
  <c r="Z385" i="1"/>
  <c r="Y385" i="1"/>
  <c r="S385" i="1"/>
  <c r="AA384" i="1"/>
  <c r="Z384" i="1"/>
  <c r="Y384" i="1"/>
  <c r="S384" i="1"/>
  <c r="AA383" i="1"/>
  <c r="Z383" i="1"/>
  <c r="Y383" i="1"/>
  <c r="S383" i="1"/>
  <c r="AA382" i="1"/>
  <c r="Z382" i="1"/>
  <c r="Y382" i="1"/>
  <c r="S382" i="1"/>
  <c r="AA381" i="1"/>
  <c r="Z381" i="1"/>
  <c r="Y381" i="1"/>
  <c r="S381" i="1"/>
  <c r="AA380" i="1"/>
  <c r="Z380" i="1"/>
  <c r="Y380" i="1"/>
  <c r="S380" i="1"/>
  <c r="AA379" i="1"/>
  <c r="Z379" i="1"/>
  <c r="Y379" i="1"/>
  <c r="S379" i="1"/>
  <c r="AA378" i="1"/>
  <c r="Z378" i="1"/>
  <c r="Y378" i="1"/>
  <c r="S378" i="1"/>
  <c r="AA377" i="1"/>
  <c r="Z377" i="1"/>
  <c r="Y377" i="1"/>
  <c r="S377" i="1"/>
  <c r="AA376" i="1"/>
  <c r="Z376" i="1"/>
  <c r="Y376" i="1"/>
  <c r="S376" i="1"/>
  <c r="AA375" i="1"/>
  <c r="Z375" i="1"/>
  <c r="Y375" i="1"/>
  <c r="S375" i="1"/>
  <c r="AA374" i="1"/>
  <c r="Z374" i="1"/>
  <c r="Y374" i="1"/>
  <c r="S374" i="1"/>
  <c r="AA373" i="1"/>
  <c r="Z373" i="1"/>
  <c r="Y373" i="1"/>
  <c r="S373" i="1"/>
  <c r="AA372" i="1"/>
  <c r="Z372" i="1"/>
  <c r="Y372" i="1"/>
  <c r="S372" i="1"/>
  <c r="AA371" i="1"/>
  <c r="Z371" i="1"/>
  <c r="Y371" i="1"/>
  <c r="S371" i="1"/>
  <c r="AA370" i="1"/>
  <c r="Z370" i="1"/>
  <c r="Y370" i="1"/>
  <c r="S370" i="1"/>
  <c r="AA369" i="1"/>
  <c r="Z369" i="1"/>
  <c r="Y369" i="1"/>
  <c r="S369" i="1"/>
  <c r="AA368" i="1"/>
  <c r="Z368" i="1"/>
  <c r="Y368" i="1"/>
  <c r="S368" i="1"/>
  <c r="AA367" i="1"/>
  <c r="Z367" i="1"/>
  <c r="Y367" i="1"/>
  <c r="S367" i="1"/>
  <c r="AA366" i="1"/>
  <c r="Z366" i="1"/>
  <c r="Y366" i="1"/>
  <c r="S366" i="1"/>
  <c r="V368" i="1" l="1"/>
  <c r="V526" i="1"/>
  <c r="V530" i="1"/>
  <c r="V140" i="1"/>
  <c r="V367" i="1"/>
  <c r="V441" i="1"/>
  <c r="V437" i="1"/>
  <c r="V519" i="1"/>
  <c r="V525" i="1"/>
  <c r="V445" i="1"/>
  <c r="V143" i="1"/>
  <c r="V446" i="1"/>
  <c r="V371" i="1"/>
  <c r="V370" i="1"/>
  <c r="V444" i="1"/>
  <c r="V448" i="1"/>
  <c r="V438" i="1"/>
  <c r="V440" i="1"/>
  <c r="V442" i="1"/>
  <c r="V449" i="1"/>
  <c r="V531" i="1"/>
  <c r="V520" i="1"/>
  <c r="V521" i="1"/>
  <c r="V523" i="1"/>
  <c r="V524" i="1"/>
  <c r="V528" i="1"/>
  <c r="V529" i="1"/>
  <c r="V381" i="1"/>
  <c r="V385" i="1"/>
  <c r="V388" i="1"/>
  <c r="V390" i="1"/>
  <c r="V391" i="1"/>
  <c r="V393" i="1"/>
  <c r="V396" i="1"/>
  <c r="V443" i="1"/>
  <c r="V522" i="1"/>
  <c r="V527" i="1"/>
  <c r="V447" i="1"/>
  <c r="V369" i="1"/>
  <c r="V136" i="1"/>
  <c r="V137" i="1"/>
  <c r="V138" i="1"/>
  <c r="V142" i="1"/>
  <c r="V144" i="1"/>
  <c r="V146" i="1"/>
  <c r="V439" i="1"/>
  <c r="V145" i="1"/>
  <c r="V139" i="1"/>
  <c r="V147" i="1"/>
  <c r="V148" i="1"/>
  <c r="V141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378" i="1"/>
  <c r="V380" i="1"/>
  <c r="V383" i="1"/>
  <c r="V387" i="1"/>
  <c r="V389" i="1"/>
  <c r="V392" i="1"/>
  <c r="V394" i="1"/>
  <c r="V395" i="1"/>
  <c r="V366" i="1"/>
  <c r="V386" i="1"/>
  <c r="V372" i="1"/>
  <c r="V376" i="1"/>
  <c r="V374" i="1"/>
  <c r="V377" i="1"/>
  <c r="V379" i="1"/>
  <c r="V373" i="1"/>
  <c r="V375" i="1"/>
  <c r="V382" i="1"/>
  <c r="V384" i="1"/>
  <c r="AA286" i="1" l="1"/>
  <c r="Z286" i="1"/>
  <c r="Y286" i="1"/>
  <c r="S286" i="1"/>
  <c r="AA285" i="1"/>
  <c r="Z285" i="1"/>
  <c r="Y285" i="1"/>
  <c r="S285" i="1"/>
  <c r="AA284" i="1"/>
  <c r="Z284" i="1"/>
  <c r="Y284" i="1"/>
  <c r="S284" i="1"/>
  <c r="AA283" i="1"/>
  <c r="Z283" i="1"/>
  <c r="Y283" i="1"/>
  <c r="S283" i="1"/>
  <c r="AA282" i="1"/>
  <c r="Z282" i="1"/>
  <c r="Y282" i="1"/>
  <c r="S282" i="1"/>
  <c r="AA281" i="1"/>
  <c r="Z281" i="1"/>
  <c r="Y281" i="1"/>
  <c r="S281" i="1"/>
  <c r="AA280" i="1"/>
  <c r="Z280" i="1"/>
  <c r="Y280" i="1"/>
  <c r="S280" i="1"/>
  <c r="AA279" i="1"/>
  <c r="Z279" i="1"/>
  <c r="Y279" i="1"/>
  <c r="S279" i="1"/>
  <c r="AA278" i="1"/>
  <c r="Z278" i="1"/>
  <c r="Y278" i="1"/>
  <c r="S278" i="1"/>
  <c r="AA277" i="1"/>
  <c r="Z277" i="1"/>
  <c r="Y277" i="1"/>
  <c r="S277" i="1"/>
  <c r="AA244" i="1"/>
  <c r="Z244" i="1"/>
  <c r="Y244" i="1"/>
  <c r="AA276" i="1"/>
  <c r="Z276" i="1"/>
  <c r="Y276" i="1"/>
  <c r="S276" i="1"/>
  <c r="AA275" i="1"/>
  <c r="Z275" i="1"/>
  <c r="Y275" i="1"/>
  <c r="S275" i="1"/>
  <c r="AA274" i="1"/>
  <c r="Z274" i="1"/>
  <c r="Y274" i="1"/>
  <c r="S274" i="1"/>
  <c r="AA273" i="1"/>
  <c r="Z273" i="1"/>
  <c r="Y273" i="1"/>
  <c r="S273" i="1"/>
  <c r="AA272" i="1"/>
  <c r="Z272" i="1"/>
  <c r="Y272" i="1"/>
  <c r="S272" i="1"/>
  <c r="AA271" i="1"/>
  <c r="Z271" i="1"/>
  <c r="Y271" i="1"/>
  <c r="S271" i="1"/>
  <c r="AA270" i="1"/>
  <c r="Z270" i="1"/>
  <c r="Y270" i="1"/>
  <c r="S270" i="1"/>
  <c r="AA269" i="1"/>
  <c r="Z269" i="1"/>
  <c r="Y269" i="1"/>
  <c r="S269" i="1"/>
  <c r="AA268" i="1"/>
  <c r="Z268" i="1"/>
  <c r="Y268" i="1"/>
  <c r="S268" i="1"/>
  <c r="AA267" i="1"/>
  <c r="Z267" i="1"/>
  <c r="Y267" i="1"/>
  <c r="S267" i="1"/>
  <c r="AA266" i="1"/>
  <c r="Z266" i="1"/>
  <c r="Y266" i="1"/>
  <c r="S266" i="1"/>
  <c r="AA265" i="1"/>
  <c r="Z265" i="1"/>
  <c r="Y265" i="1"/>
  <c r="S265" i="1"/>
  <c r="AA264" i="1"/>
  <c r="Z264" i="1"/>
  <c r="Y264" i="1"/>
  <c r="S264" i="1"/>
  <c r="AA263" i="1"/>
  <c r="Z263" i="1"/>
  <c r="Y263" i="1"/>
  <c r="S263" i="1"/>
  <c r="AA262" i="1"/>
  <c r="Z262" i="1"/>
  <c r="Y262" i="1"/>
  <c r="S262" i="1"/>
  <c r="AA261" i="1"/>
  <c r="Z261" i="1"/>
  <c r="Y261" i="1"/>
  <c r="S261" i="1"/>
  <c r="AA260" i="1"/>
  <c r="Z260" i="1"/>
  <c r="Y260" i="1"/>
  <c r="S260" i="1"/>
  <c r="C93" i="7" l="1"/>
  <c r="C78" i="7"/>
  <c r="C80" i="7"/>
  <c r="C77" i="7"/>
  <c r="C82" i="7"/>
  <c r="C94" i="7"/>
  <c r="C75" i="7"/>
  <c r="C76" i="7"/>
  <c r="C84" i="7"/>
  <c r="M84" i="7" s="1"/>
  <c r="O84" i="7" s="1"/>
  <c r="C87" i="7"/>
  <c r="M87" i="7" s="1"/>
  <c r="O87" i="7" s="1"/>
  <c r="C90" i="7"/>
  <c r="M90" i="7" s="1"/>
  <c r="O90" i="7" s="1"/>
  <c r="C95" i="7"/>
  <c r="M95" i="7" s="1"/>
  <c r="O95" i="7" s="1"/>
  <c r="C83" i="7"/>
  <c r="M83" i="7" s="1"/>
  <c r="O83" i="7" s="1"/>
  <c r="C86" i="7"/>
  <c r="M86" i="7" s="1"/>
  <c r="O86" i="7" s="1"/>
  <c r="C89" i="7"/>
  <c r="M89" i="7" s="1"/>
  <c r="O89" i="7" s="1"/>
  <c r="C91" i="7"/>
  <c r="M91" i="7" s="1"/>
  <c r="O91" i="7" s="1"/>
  <c r="C92" i="7"/>
  <c r="M92" i="7" s="1"/>
  <c r="O92" i="7" s="1"/>
  <c r="C96" i="7"/>
  <c r="M96" i="7" s="1"/>
  <c r="O96" i="7" s="1"/>
  <c r="C97" i="7"/>
  <c r="M97" i="7" s="1"/>
  <c r="O97" i="7" s="1"/>
  <c r="C79" i="7"/>
  <c r="M79" i="7" s="1"/>
  <c r="O79" i="7" s="1"/>
  <c r="C81" i="7"/>
  <c r="M81" i="7" s="1"/>
  <c r="O81" i="7" s="1"/>
  <c r="C85" i="7"/>
  <c r="M85" i="7" s="1"/>
  <c r="O85" i="7" s="1"/>
  <c r="C88" i="7"/>
  <c r="M88" i="7" s="1"/>
  <c r="O88" i="7" s="1"/>
  <c r="C59" i="7"/>
  <c r="M59" i="7" s="1"/>
  <c r="O59" i="7" s="1"/>
  <c r="V277" i="1"/>
  <c r="V278" i="1"/>
  <c r="V275" i="1"/>
  <c r="V276" i="1"/>
  <c r="V279" i="1"/>
  <c r="V283" i="1"/>
  <c r="V284" i="1"/>
  <c r="V285" i="1"/>
  <c r="V274" i="1"/>
  <c r="V280" i="1"/>
  <c r="V282" i="1"/>
  <c r="V281" i="1"/>
  <c r="V286" i="1"/>
  <c r="V271" i="1"/>
  <c r="V273" i="1"/>
  <c r="V272" i="1"/>
  <c r="V244" i="1"/>
  <c r="V260" i="1"/>
  <c r="V261" i="1"/>
  <c r="V262" i="1"/>
  <c r="V263" i="1"/>
  <c r="V264" i="1"/>
  <c r="V265" i="1"/>
  <c r="V266" i="1"/>
  <c r="V267" i="1"/>
  <c r="V268" i="1"/>
  <c r="V269" i="1"/>
  <c r="V270" i="1"/>
  <c r="M77" i="7" l="1"/>
  <c r="O77" i="7" s="1"/>
  <c r="M80" i="7"/>
  <c r="O80" i="7" s="1"/>
  <c r="M78" i="7"/>
  <c r="O78" i="7" s="1"/>
  <c r="M93" i="7"/>
  <c r="O93" i="7" s="1"/>
  <c r="M82" i="7"/>
  <c r="O82" i="7" s="1"/>
  <c r="M76" i="7"/>
  <c r="O76" i="7" s="1"/>
  <c r="K75" i="7"/>
  <c r="M75" i="7"/>
  <c r="O75" i="7" s="1"/>
  <c r="M94" i="7"/>
  <c r="O94" i="7" s="1"/>
  <c r="K93" i="7"/>
  <c r="K76" i="7"/>
  <c r="K78" i="7"/>
  <c r="K94" i="7"/>
  <c r="K80" i="7"/>
  <c r="K77" i="7"/>
  <c r="K82" i="7"/>
  <c r="K92" i="7"/>
  <c r="K83" i="7"/>
  <c r="K88" i="7"/>
  <c r="K87" i="7"/>
  <c r="K85" i="7"/>
  <c r="K84" i="7"/>
  <c r="K97" i="7"/>
  <c r="K89" i="7"/>
  <c r="K91" i="7"/>
  <c r="K81" i="7"/>
  <c r="K95" i="7"/>
  <c r="K96" i="7"/>
  <c r="K86" i="7"/>
  <c r="K59" i="7"/>
  <c r="K79" i="7"/>
  <c r="K90" i="7"/>
  <c r="C951" i="1" l="1"/>
  <c r="E951" i="1" s="1"/>
  <c r="AA871" i="1" l="1"/>
  <c r="Z871" i="1"/>
  <c r="Y871" i="1"/>
  <c r="AA859" i="1"/>
  <c r="Z859" i="1"/>
  <c r="Y859" i="1"/>
  <c r="AA890" i="1"/>
  <c r="Z890" i="1"/>
  <c r="Y890" i="1"/>
  <c r="AA895" i="1"/>
  <c r="Z895" i="1"/>
  <c r="Y895" i="1"/>
  <c r="W549" i="1"/>
  <c r="U550" i="1"/>
  <c r="V550" i="1" l="1"/>
  <c r="AB895" i="1"/>
  <c r="AB890" i="1"/>
  <c r="AB871" i="1"/>
  <c r="AB859" i="1"/>
  <c r="AA873" i="1" l="1"/>
  <c r="Z873" i="1"/>
  <c r="I873" i="1"/>
  <c r="AA872" i="1"/>
  <c r="Z872" i="1"/>
  <c r="I872" i="1"/>
  <c r="AA870" i="1"/>
  <c r="Z870" i="1"/>
  <c r="I870" i="1"/>
  <c r="AA869" i="1"/>
  <c r="Z869" i="1"/>
  <c r="I869" i="1"/>
  <c r="Y893" i="1"/>
  <c r="W893" i="1"/>
  <c r="AA858" i="1"/>
  <c r="Y858" i="1"/>
  <c r="AA868" i="1"/>
  <c r="Z868" i="1"/>
  <c r="I868" i="1"/>
  <c r="AA864" i="1"/>
  <c r="Z864" i="1"/>
  <c r="I864" i="1"/>
  <c r="AA863" i="1"/>
  <c r="Z863" i="1"/>
  <c r="AA862" i="1"/>
  <c r="Z862" i="1"/>
  <c r="I862" i="1"/>
  <c r="AA866" i="1"/>
  <c r="Z866" i="1"/>
  <c r="I866" i="1"/>
  <c r="I867" i="1"/>
  <c r="I865" i="1"/>
  <c r="I861" i="1"/>
  <c r="I860" i="1"/>
  <c r="AA861" i="1"/>
  <c r="Z861" i="1"/>
  <c r="I902" i="1" l="1"/>
  <c r="S902" i="1" s="1"/>
  <c r="AA893" i="1"/>
  <c r="Z893" i="1"/>
  <c r="W869" i="1"/>
  <c r="Y869" i="1" s="1"/>
  <c r="W870" i="1"/>
  <c r="Y870" i="1" s="1"/>
  <c r="W872" i="1"/>
  <c r="Y872" i="1" s="1"/>
  <c r="W873" i="1"/>
  <c r="X873" i="1" s="1"/>
  <c r="W866" i="1"/>
  <c r="Y866" i="1" s="1"/>
  <c r="AB866" i="1" s="1"/>
  <c r="W862" i="1"/>
  <c r="Y862" i="1" s="1"/>
  <c r="W863" i="1"/>
  <c r="W864" i="1"/>
  <c r="Y864" i="1" s="1"/>
  <c r="W868" i="1"/>
  <c r="Y868" i="1" s="1"/>
  <c r="W861" i="1"/>
  <c r="Y861" i="1" s="1"/>
  <c r="W858" i="1"/>
  <c r="Z858" i="1" s="1"/>
  <c r="W810" i="1"/>
  <c r="W809" i="1"/>
  <c r="W808" i="1"/>
  <c r="W807" i="1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J4" i="7"/>
  <c r="J3" i="7"/>
  <c r="D953" i="1"/>
  <c r="D951" i="1"/>
  <c r="F795" i="1" s="1"/>
  <c r="S795" i="1" s="1"/>
  <c r="F950" i="1"/>
  <c r="D950" i="1"/>
  <c r="D949" i="1"/>
  <c r="D947" i="1"/>
  <c r="F946" i="1"/>
  <c r="E946" i="1"/>
  <c r="D946" i="1"/>
  <c r="F944" i="1"/>
  <c r="E944" i="1"/>
  <c r="D944" i="1"/>
  <c r="E943" i="1"/>
  <c r="D943" i="1"/>
  <c r="E942" i="1"/>
  <c r="D942" i="1"/>
  <c r="E941" i="1"/>
  <c r="D941" i="1"/>
  <c r="Y894" i="1"/>
  <c r="W894" i="1"/>
  <c r="AA892" i="1"/>
  <c r="Y892" i="1"/>
  <c r="W892" i="1"/>
  <c r="X892" i="1" s="1"/>
  <c r="D892" i="1" s="1"/>
  <c r="C929" i="1" s="1"/>
  <c r="AA891" i="1"/>
  <c r="W891" i="1"/>
  <c r="AA903" i="1"/>
  <c r="Z903" i="1"/>
  <c r="AA899" i="1"/>
  <c r="Z899" i="1"/>
  <c r="W899" i="1"/>
  <c r="AA897" i="1"/>
  <c r="Y897" i="1"/>
  <c r="W897" i="1"/>
  <c r="AA898" i="1"/>
  <c r="Z898" i="1"/>
  <c r="Y898" i="1"/>
  <c r="AA896" i="1"/>
  <c r="Z896" i="1"/>
  <c r="W896" i="1"/>
  <c r="AA867" i="1"/>
  <c r="Z867" i="1"/>
  <c r="W867" i="1"/>
  <c r="Y867" i="1" s="1"/>
  <c r="AA865" i="1"/>
  <c r="Z865" i="1"/>
  <c r="W865" i="1"/>
  <c r="Y865" i="1" s="1"/>
  <c r="AA860" i="1"/>
  <c r="Z860" i="1"/>
  <c r="W860" i="1"/>
  <c r="Y860" i="1" s="1"/>
  <c r="AA857" i="1"/>
  <c r="W857" i="1"/>
  <c r="Y857" i="1" s="1"/>
  <c r="AA856" i="1"/>
  <c r="W856" i="1"/>
  <c r="Y856" i="1" s="1"/>
  <c r="AA845" i="1"/>
  <c r="Z845" i="1"/>
  <c r="Y845" i="1"/>
  <c r="AA843" i="1"/>
  <c r="Z843" i="1"/>
  <c r="Y843" i="1"/>
  <c r="AA842" i="1"/>
  <c r="Z842" i="1"/>
  <c r="Y842" i="1"/>
  <c r="X842" i="1"/>
  <c r="AA841" i="1"/>
  <c r="Z841" i="1"/>
  <c r="Y841" i="1"/>
  <c r="X841" i="1"/>
  <c r="AA840" i="1"/>
  <c r="Z840" i="1"/>
  <c r="Y840" i="1"/>
  <c r="AA838" i="1"/>
  <c r="Z838" i="1"/>
  <c r="Y838" i="1"/>
  <c r="AA836" i="1"/>
  <c r="Z836" i="1"/>
  <c r="Y836" i="1"/>
  <c r="AA834" i="1"/>
  <c r="Z834" i="1"/>
  <c r="Y834" i="1"/>
  <c r="AA833" i="1"/>
  <c r="Z833" i="1"/>
  <c r="Y833" i="1"/>
  <c r="X833" i="1"/>
  <c r="AA832" i="1"/>
  <c r="Z832" i="1"/>
  <c r="Y832" i="1"/>
  <c r="X832" i="1"/>
  <c r="AA830" i="1"/>
  <c r="Z830" i="1"/>
  <c r="Y830" i="1"/>
  <c r="X830" i="1"/>
  <c r="S830" i="1"/>
  <c r="AA829" i="1"/>
  <c r="Z829" i="1"/>
  <c r="Y829" i="1"/>
  <c r="X829" i="1"/>
  <c r="AA828" i="1"/>
  <c r="Z828" i="1"/>
  <c r="Y828" i="1"/>
  <c r="X828" i="1"/>
  <c r="AA827" i="1"/>
  <c r="Z827" i="1"/>
  <c r="Y827" i="1"/>
  <c r="X827" i="1"/>
  <c r="AA825" i="1"/>
  <c r="Z825" i="1"/>
  <c r="Y825" i="1"/>
  <c r="X825" i="1"/>
  <c r="AA824" i="1"/>
  <c r="Y824" i="1"/>
  <c r="X824" i="1"/>
  <c r="W824" i="1"/>
  <c r="AA823" i="1"/>
  <c r="Z823" i="1"/>
  <c r="Y823" i="1"/>
  <c r="X823" i="1"/>
  <c r="AA822" i="1"/>
  <c r="Z822" i="1"/>
  <c r="Y822" i="1"/>
  <c r="X822" i="1"/>
  <c r="AA817" i="1"/>
  <c r="Z817" i="1"/>
  <c r="Y817" i="1"/>
  <c r="AA816" i="1"/>
  <c r="Z816" i="1"/>
  <c r="Y816" i="1"/>
  <c r="X816" i="1"/>
  <c r="AA815" i="1"/>
  <c r="Z815" i="1"/>
  <c r="Y815" i="1"/>
  <c r="X815" i="1"/>
  <c r="AA814" i="1"/>
  <c r="Z814" i="1"/>
  <c r="Y814" i="1"/>
  <c r="X814" i="1"/>
  <c r="AA813" i="1"/>
  <c r="Z813" i="1"/>
  <c r="Y813" i="1"/>
  <c r="X813" i="1"/>
  <c r="AA812" i="1"/>
  <c r="Z812" i="1"/>
  <c r="Y812" i="1"/>
  <c r="X812" i="1"/>
  <c r="AA811" i="1"/>
  <c r="Z811" i="1"/>
  <c r="Y811" i="1"/>
  <c r="S811" i="1"/>
  <c r="AA810" i="1"/>
  <c r="Z810" i="1"/>
  <c r="Y810" i="1"/>
  <c r="S810" i="1"/>
  <c r="AA809" i="1"/>
  <c r="Z809" i="1"/>
  <c r="Y809" i="1"/>
  <c r="S809" i="1"/>
  <c r="AA808" i="1"/>
  <c r="Z808" i="1"/>
  <c r="Y808" i="1"/>
  <c r="S808" i="1"/>
  <c r="AA807" i="1"/>
  <c r="Z807" i="1"/>
  <c r="Y807" i="1"/>
  <c r="S807" i="1"/>
  <c r="AA805" i="1"/>
  <c r="Z805" i="1"/>
  <c r="Y805" i="1"/>
  <c r="AA806" i="1"/>
  <c r="Z806" i="1"/>
  <c r="Y806" i="1"/>
  <c r="AA804" i="1"/>
  <c r="Z804" i="1"/>
  <c r="Y804" i="1"/>
  <c r="AA803" i="1"/>
  <c r="Z803" i="1"/>
  <c r="Y803" i="1"/>
  <c r="AA802" i="1"/>
  <c r="Z802" i="1"/>
  <c r="Y802" i="1"/>
  <c r="AA800" i="1"/>
  <c r="Z800" i="1"/>
  <c r="Y800" i="1"/>
  <c r="AA799" i="1"/>
  <c r="Z799" i="1"/>
  <c r="Y799" i="1"/>
  <c r="AA798" i="1"/>
  <c r="Z798" i="1"/>
  <c r="Y798" i="1"/>
  <c r="AA797" i="1"/>
  <c r="Z797" i="1"/>
  <c r="Y797" i="1"/>
  <c r="AA796" i="1"/>
  <c r="Z796" i="1"/>
  <c r="Y796" i="1"/>
  <c r="AA794" i="1"/>
  <c r="Z794" i="1"/>
  <c r="Y794" i="1"/>
  <c r="AA793" i="1"/>
  <c r="Z793" i="1"/>
  <c r="Y793" i="1"/>
  <c r="AA792" i="1"/>
  <c r="Z792" i="1"/>
  <c r="Y792" i="1"/>
  <c r="AA791" i="1"/>
  <c r="Z791" i="1"/>
  <c r="Y791" i="1"/>
  <c r="AA790" i="1"/>
  <c r="Z790" i="1"/>
  <c r="Y790" i="1"/>
  <c r="AA789" i="1"/>
  <c r="Z789" i="1"/>
  <c r="Y789" i="1"/>
  <c r="AA788" i="1"/>
  <c r="Z788" i="1"/>
  <c r="Y788" i="1"/>
  <c r="AA787" i="1"/>
  <c r="Z787" i="1"/>
  <c r="Y787" i="1"/>
  <c r="AA786" i="1"/>
  <c r="Z786" i="1"/>
  <c r="Y786" i="1"/>
  <c r="X786" i="1"/>
  <c r="Z785" i="1"/>
  <c r="Y785" i="1"/>
  <c r="X785" i="1"/>
  <c r="Z784" i="1"/>
  <c r="Y784" i="1"/>
  <c r="X784" i="1"/>
  <c r="AA783" i="1"/>
  <c r="Z783" i="1"/>
  <c r="Y783" i="1"/>
  <c r="X783" i="1"/>
  <c r="AA782" i="1"/>
  <c r="Y782" i="1"/>
  <c r="X782" i="1"/>
  <c r="W782" i="1"/>
  <c r="AA781" i="1"/>
  <c r="Z781" i="1"/>
  <c r="Y781" i="1"/>
  <c r="X781" i="1"/>
  <c r="AA780" i="1"/>
  <c r="Z780" i="1"/>
  <c r="Y780" i="1"/>
  <c r="X780" i="1"/>
  <c r="AA779" i="1"/>
  <c r="Z779" i="1"/>
  <c r="Y779" i="1"/>
  <c r="X779" i="1"/>
  <c r="AA778" i="1"/>
  <c r="Z778" i="1"/>
  <c r="Y778" i="1"/>
  <c r="X778" i="1"/>
  <c r="AA777" i="1"/>
  <c r="Z777" i="1"/>
  <c r="Y777" i="1"/>
  <c r="X777" i="1"/>
  <c r="Z776" i="1"/>
  <c r="Y776" i="1"/>
  <c r="X776" i="1"/>
  <c r="S776" i="1"/>
  <c r="Z775" i="1"/>
  <c r="Y775" i="1"/>
  <c r="X775" i="1"/>
  <c r="Z774" i="1"/>
  <c r="Y774" i="1"/>
  <c r="X774" i="1"/>
  <c r="AA773" i="1"/>
  <c r="Z773" i="1"/>
  <c r="Y773" i="1"/>
  <c r="X773" i="1"/>
  <c r="Z772" i="1"/>
  <c r="Y772" i="1"/>
  <c r="X772" i="1"/>
  <c r="Z771" i="1"/>
  <c r="Y771" i="1"/>
  <c r="X771" i="1"/>
  <c r="Z770" i="1"/>
  <c r="Y770" i="1"/>
  <c r="X770" i="1"/>
  <c r="Z769" i="1"/>
  <c r="Y769" i="1"/>
  <c r="X769" i="1"/>
  <c r="Z768" i="1"/>
  <c r="Y768" i="1"/>
  <c r="X768" i="1"/>
  <c r="Z767" i="1"/>
  <c r="Y767" i="1"/>
  <c r="X767" i="1"/>
  <c r="Z765" i="1"/>
  <c r="Y765" i="1"/>
  <c r="X765" i="1"/>
  <c r="Z754" i="1"/>
  <c r="Y754" i="1"/>
  <c r="X754" i="1"/>
  <c r="Z753" i="1"/>
  <c r="Y753" i="1"/>
  <c r="X753" i="1"/>
  <c r="Z752" i="1"/>
  <c r="Y752" i="1"/>
  <c r="X752" i="1"/>
  <c r="Z751" i="1"/>
  <c r="Y751" i="1"/>
  <c r="X751" i="1"/>
  <c r="Z750" i="1"/>
  <c r="Y750" i="1"/>
  <c r="X750" i="1"/>
  <c r="Z749" i="1"/>
  <c r="Y749" i="1"/>
  <c r="X749" i="1"/>
  <c r="Z748" i="1"/>
  <c r="Y748" i="1"/>
  <c r="X748" i="1"/>
  <c r="Z747" i="1"/>
  <c r="Y747" i="1"/>
  <c r="X747" i="1"/>
  <c r="Z746" i="1"/>
  <c r="Y746" i="1"/>
  <c r="X746" i="1"/>
  <c r="Z745" i="1"/>
  <c r="Y745" i="1"/>
  <c r="X745" i="1"/>
  <c r="Z744" i="1"/>
  <c r="Y744" i="1"/>
  <c r="X744" i="1"/>
  <c r="Z738" i="1"/>
  <c r="Y738" i="1"/>
  <c r="X738" i="1"/>
  <c r="Z737" i="1"/>
  <c r="Y737" i="1"/>
  <c r="X737" i="1"/>
  <c r="Z736" i="1"/>
  <c r="Y736" i="1"/>
  <c r="X736" i="1"/>
  <c r="Z735" i="1"/>
  <c r="Y735" i="1"/>
  <c r="X735" i="1"/>
  <c r="Z734" i="1"/>
  <c r="Y734" i="1"/>
  <c r="X734" i="1"/>
  <c r="Z733" i="1"/>
  <c r="Y733" i="1"/>
  <c r="X733" i="1"/>
  <c r="Z731" i="1"/>
  <c r="Y731" i="1"/>
  <c r="X731" i="1"/>
  <c r="Z730" i="1"/>
  <c r="Y730" i="1"/>
  <c r="X730" i="1"/>
  <c r="Z729" i="1"/>
  <c r="Y729" i="1"/>
  <c r="X729" i="1"/>
  <c r="Z728" i="1"/>
  <c r="Y728" i="1"/>
  <c r="X728" i="1"/>
  <c r="Z726" i="1"/>
  <c r="Y726" i="1"/>
  <c r="X726" i="1"/>
  <c r="F726" i="1"/>
  <c r="Z724" i="1"/>
  <c r="Y724" i="1"/>
  <c r="X724" i="1"/>
  <c r="Z719" i="1"/>
  <c r="Y719" i="1"/>
  <c r="X719" i="1"/>
  <c r="Z718" i="1"/>
  <c r="Y718" i="1"/>
  <c r="X718" i="1"/>
  <c r="Z717" i="1"/>
  <c r="Y717" i="1"/>
  <c r="X717" i="1"/>
  <c r="Z716" i="1"/>
  <c r="Y716" i="1"/>
  <c r="X716" i="1"/>
  <c r="Z715" i="1"/>
  <c r="Y715" i="1"/>
  <c r="X715" i="1"/>
  <c r="Z714" i="1"/>
  <c r="Y714" i="1"/>
  <c r="X714" i="1"/>
  <c r="Z713" i="1"/>
  <c r="Y713" i="1"/>
  <c r="X713" i="1"/>
  <c r="Z712" i="1"/>
  <c r="Y712" i="1"/>
  <c r="X712" i="1"/>
  <c r="Z711" i="1"/>
  <c r="Y711" i="1"/>
  <c r="X711" i="1"/>
  <c r="Z710" i="1"/>
  <c r="Y710" i="1"/>
  <c r="X710" i="1"/>
  <c r="Z709" i="1"/>
  <c r="Y709" i="1"/>
  <c r="X709" i="1"/>
  <c r="Z708" i="1"/>
  <c r="Y708" i="1"/>
  <c r="X708" i="1"/>
  <c r="Z707" i="1"/>
  <c r="Y707" i="1"/>
  <c r="X707" i="1"/>
  <c r="Z706" i="1"/>
  <c r="Y706" i="1"/>
  <c r="X706" i="1"/>
  <c r="Z705" i="1"/>
  <c r="Y705" i="1"/>
  <c r="X705" i="1"/>
  <c r="Z704" i="1"/>
  <c r="Y704" i="1"/>
  <c r="X704" i="1"/>
  <c r="Z703" i="1"/>
  <c r="Y703" i="1"/>
  <c r="X703" i="1"/>
  <c r="Z702" i="1"/>
  <c r="Y702" i="1"/>
  <c r="X702" i="1"/>
  <c r="Z701" i="1"/>
  <c r="Y701" i="1"/>
  <c r="X701" i="1"/>
  <c r="Z700" i="1"/>
  <c r="Y700" i="1"/>
  <c r="X700" i="1"/>
  <c r="Z699" i="1"/>
  <c r="Y699" i="1"/>
  <c r="X699" i="1"/>
  <c r="Z698" i="1"/>
  <c r="Y698" i="1"/>
  <c r="X698" i="1"/>
  <c r="Z697" i="1"/>
  <c r="Y697" i="1"/>
  <c r="X697" i="1"/>
  <c r="Z696" i="1"/>
  <c r="Y696" i="1"/>
  <c r="X696" i="1"/>
  <c r="Z695" i="1"/>
  <c r="Y695" i="1"/>
  <c r="X695" i="1"/>
  <c r="Z694" i="1"/>
  <c r="Y694" i="1"/>
  <c r="X694" i="1"/>
  <c r="Z693" i="1"/>
  <c r="Y693" i="1"/>
  <c r="X693" i="1"/>
  <c r="Z692" i="1"/>
  <c r="Y692" i="1"/>
  <c r="X692" i="1"/>
  <c r="Z691" i="1"/>
  <c r="Y691" i="1"/>
  <c r="X691" i="1"/>
  <c r="Z689" i="1"/>
  <c r="Y689" i="1"/>
  <c r="X689" i="1"/>
  <c r="Z685" i="1"/>
  <c r="Y685" i="1"/>
  <c r="X685" i="1"/>
  <c r="AA684" i="1"/>
  <c r="Z684" i="1"/>
  <c r="Y684" i="1"/>
  <c r="X684" i="1"/>
  <c r="Z683" i="1"/>
  <c r="Y683" i="1"/>
  <c r="X683" i="1"/>
  <c r="Z682" i="1"/>
  <c r="Y682" i="1"/>
  <c r="X682" i="1"/>
  <c r="Z681" i="1"/>
  <c r="Y681" i="1"/>
  <c r="X681" i="1"/>
  <c r="Z680" i="1"/>
  <c r="Y680" i="1"/>
  <c r="X680" i="1"/>
  <c r="Z679" i="1"/>
  <c r="Y679" i="1"/>
  <c r="X679" i="1"/>
  <c r="Z678" i="1"/>
  <c r="Y678" i="1"/>
  <c r="X678" i="1"/>
  <c r="Z676" i="1"/>
  <c r="Y676" i="1"/>
  <c r="X676" i="1"/>
  <c r="Z675" i="1"/>
  <c r="Y675" i="1"/>
  <c r="X675" i="1"/>
  <c r="Z674" i="1"/>
  <c r="Y674" i="1"/>
  <c r="X674" i="1"/>
  <c r="Z673" i="1"/>
  <c r="Y673" i="1"/>
  <c r="X673" i="1"/>
  <c r="Z672" i="1"/>
  <c r="Y672" i="1"/>
  <c r="X672" i="1"/>
  <c r="Z671" i="1"/>
  <c r="Y671" i="1"/>
  <c r="X671" i="1"/>
  <c r="Z670" i="1"/>
  <c r="Y670" i="1"/>
  <c r="X670" i="1"/>
  <c r="Z669" i="1"/>
  <c r="Y669" i="1"/>
  <c r="X669" i="1"/>
  <c r="E669" i="1"/>
  <c r="Z668" i="1"/>
  <c r="Y668" i="1"/>
  <c r="X668" i="1"/>
  <c r="Z667" i="1"/>
  <c r="Y667" i="1"/>
  <c r="X667" i="1"/>
  <c r="Z666" i="1"/>
  <c r="Y666" i="1"/>
  <c r="X666" i="1"/>
  <c r="Z665" i="1"/>
  <c r="Y665" i="1"/>
  <c r="X665" i="1"/>
  <c r="AA665" i="1"/>
  <c r="AA664" i="1"/>
  <c r="Z664" i="1"/>
  <c r="Y664" i="1"/>
  <c r="X664" i="1"/>
  <c r="AA663" i="1"/>
  <c r="Z663" i="1"/>
  <c r="Y663" i="1"/>
  <c r="U663" i="1"/>
  <c r="AA662" i="1"/>
  <c r="Z662" i="1"/>
  <c r="Y662" i="1"/>
  <c r="U662" i="1"/>
  <c r="AA661" i="1"/>
  <c r="Z661" i="1"/>
  <c r="Y661" i="1"/>
  <c r="U661" i="1"/>
  <c r="AA660" i="1"/>
  <c r="Z660" i="1"/>
  <c r="Y660" i="1"/>
  <c r="U660" i="1"/>
  <c r="AA659" i="1"/>
  <c r="Z659" i="1"/>
  <c r="Y659" i="1"/>
  <c r="U659" i="1"/>
  <c r="AA658" i="1"/>
  <c r="Z658" i="1"/>
  <c r="Y658" i="1"/>
  <c r="U658" i="1"/>
  <c r="AA657" i="1"/>
  <c r="Z657" i="1"/>
  <c r="Y657" i="1"/>
  <c r="U657" i="1"/>
  <c r="AA656" i="1"/>
  <c r="Z656" i="1"/>
  <c r="Y656" i="1"/>
  <c r="U656" i="1"/>
  <c r="AA655" i="1"/>
  <c r="Z655" i="1"/>
  <c r="Y655" i="1"/>
  <c r="U655" i="1"/>
  <c r="AA654" i="1"/>
  <c r="Z654" i="1"/>
  <c r="Y654" i="1"/>
  <c r="U654" i="1"/>
  <c r="AA650" i="1"/>
  <c r="Z650" i="1"/>
  <c r="Y650" i="1"/>
  <c r="U650" i="1"/>
  <c r="AA649" i="1"/>
  <c r="Z649" i="1"/>
  <c r="Y649" i="1"/>
  <c r="U649" i="1"/>
  <c r="AA648" i="1"/>
  <c r="Z648" i="1"/>
  <c r="Y648" i="1"/>
  <c r="U648" i="1"/>
  <c r="AA647" i="1"/>
  <c r="Z647" i="1"/>
  <c r="Y647" i="1"/>
  <c r="X647" i="1"/>
  <c r="AA646" i="1"/>
  <c r="Z646" i="1"/>
  <c r="Y646" i="1"/>
  <c r="S646" i="1"/>
  <c r="Z645" i="1"/>
  <c r="X645" i="1"/>
  <c r="Y645" i="1"/>
  <c r="V645" i="1"/>
  <c r="AA644" i="1"/>
  <c r="Y644" i="1"/>
  <c r="X644" i="1"/>
  <c r="W644" i="1"/>
  <c r="AA643" i="1"/>
  <c r="Z643" i="1"/>
  <c r="Y643" i="1"/>
  <c r="X643" i="1"/>
  <c r="AA639" i="1"/>
  <c r="Z639" i="1"/>
  <c r="Y639" i="1"/>
  <c r="X639" i="1"/>
  <c r="AA637" i="1"/>
  <c r="X637" i="1"/>
  <c r="AA636" i="1"/>
  <c r="X636" i="1"/>
  <c r="AA633" i="1"/>
  <c r="X633" i="1"/>
  <c r="AA635" i="1"/>
  <c r="X635" i="1"/>
  <c r="AA634" i="1"/>
  <c r="X634" i="1"/>
  <c r="AA632" i="1"/>
  <c r="X632" i="1"/>
  <c r="AA631" i="1"/>
  <c r="X631" i="1"/>
  <c r="W631" i="1"/>
  <c r="AA625" i="1"/>
  <c r="Z625" i="1"/>
  <c r="Y625" i="1"/>
  <c r="X625" i="1"/>
  <c r="AA624" i="1"/>
  <c r="Y624" i="1"/>
  <c r="X624" i="1"/>
  <c r="W624" i="1"/>
  <c r="Y594" i="1"/>
  <c r="X594" i="1"/>
  <c r="S594" i="1"/>
  <c r="AA617" i="1"/>
  <c r="Y617" i="1"/>
  <c r="X617" i="1"/>
  <c r="S617" i="1"/>
  <c r="Z617" i="1" s="1"/>
  <c r="D617" i="1" s="1"/>
  <c r="AA616" i="1"/>
  <c r="Y616" i="1"/>
  <c r="X616" i="1"/>
  <c r="AA618" i="1"/>
  <c r="Y618" i="1"/>
  <c r="X618" i="1"/>
  <c r="AA615" i="1"/>
  <c r="Y615" i="1"/>
  <c r="X615" i="1"/>
  <c r="S615" i="1"/>
  <c r="Z615" i="1" s="1"/>
  <c r="D615" i="1" s="1"/>
  <c r="AA614" i="1"/>
  <c r="Y614" i="1"/>
  <c r="X614" i="1"/>
  <c r="S614" i="1"/>
  <c r="Z614" i="1" s="1"/>
  <c r="D614" i="1" s="1"/>
  <c r="AA613" i="1"/>
  <c r="Y613" i="1"/>
  <c r="X613" i="1"/>
  <c r="S613" i="1"/>
  <c r="Z613" i="1" s="1"/>
  <c r="D613" i="1" s="1"/>
  <c r="AA623" i="1"/>
  <c r="Z623" i="1"/>
  <c r="Y623" i="1"/>
  <c r="U623" i="1"/>
  <c r="AA622" i="1"/>
  <c r="Y622" i="1"/>
  <c r="X622" i="1"/>
  <c r="AA621" i="1"/>
  <c r="Y621" i="1"/>
  <c r="X621" i="1"/>
  <c r="AA620" i="1"/>
  <c r="Y620" i="1"/>
  <c r="X620" i="1"/>
  <c r="AA612" i="1"/>
  <c r="Z612" i="1"/>
  <c r="Y612" i="1"/>
  <c r="X612" i="1"/>
  <c r="AA611" i="1"/>
  <c r="Z611" i="1"/>
  <c r="X611" i="1"/>
  <c r="S611" i="1"/>
  <c r="AA610" i="1"/>
  <c r="Z610" i="1"/>
  <c r="Y610" i="1"/>
  <c r="S610" i="1"/>
  <c r="AA609" i="1"/>
  <c r="Z609" i="1"/>
  <c r="X609" i="1"/>
  <c r="S609" i="1"/>
  <c r="AA606" i="1"/>
  <c r="Z606" i="1"/>
  <c r="Y606" i="1"/>
  <c r="U606" i="1"/>
  <c r="AA605" i="1"/>
  <c r="Y605" i="1"/>
  <c r="X605" i="1"/>
  <c r="AA604" i="1"/>
  <c r="Z604" i="1"/>
  <c r="Y604" i="1"/>
  <c r="U604" i="1"/>
  <c r="Z603" i="1"/>
  <c r="Y603" i="1"/>
  <c r="V603" i="1"/>
  <c r="AA600" i="1"/>
  <c r="Z600" i="1"/>
  <c r="Y600" i="1"/>
  <c r="U600" i="1"/>
  <c r="AA599" i="1"/>
  <c r="Z599" i="1"/>
  <c r="Y599" i="1"/>
  <c r="U599" i="1"/>
  <c r="AA598" i="1"/>
  <c r="Z598" i="1"/>
  <c r="Y598" i="1"/>
  <c r="U598" i="1"/>
  <c r="AA597" i="1"/>
  <c r="Z597" i="1"/>
  <c r="Y597" i="1"/>
  <c r="U597" i="1"/>
  <c r="AA596" i="1"/>
  <c r="Z596" i="1"/>
  <c r="X596" i="1"/>
  <c r="W596" i="1"/>
  <c r="AA595" i="1"/>
  <c r="Z595" i="1"/>
  <c r="Y595" i="1"/>
  <c r="U595" i="1"/>
  <c r="Z592" i="1"/>
  <c r="Y592" i="1"/>
  <c r="S592" i="1"/>
  <c r="AA591" i="1"/>
  <c r="Z591" i="1"/>
  <c r="Y591" i="1"/>
  <c r="U591" i="1"/>
  <c r="AA590" i="1"/>
  <c r="Z590" i="1"/>
  <c r="Y590" i="1"/>
  <c r="U590" i="1"/>
  <c r="AA588" i="1"/>
  <c r="Z588" i="1"/>
  <c r="Y588" i="1"/>
  <c r="U588" i="1"/>
  <c r="AA587" i="1"/>
  <c r="Z587" i="1"/>
  <c r="Y587" i="1"/>
  <c r="U587" i="1"/>
  <c r="AA586" i="1"/>
  <c r="Z586" i="1"/>
  <c r="Y586" i="1"/>
  <c r="S586" i="1"/>
  <c r="AA585" i="1"/>
  <c r="Z585" i="1"/>
  <c r="Y585" i="1"/>
  <c r="S585" i="1"/>
  <c r="AA584" i="1"/>
  <c r="Z584" i="1"/>
  <c r="X584" i="1"/>
  <c r="W584" i="1"/>
  <c r="AA583" i="1"/>
  <c r="Z583" i="1"/>
  <c r="Y583" i="1"/>
  <c r="S583" i="1"/>
  <c r="V583" i="1" s="1"/>
  <c r="AA582" i="1"/>
  <c r="Z582" i="1"/>
  <c r="Y582" i="1"/>
  <c r="U582" i="1"/>
  <c r="AA581" i="1"/>
  <c r="Z581" i="1"/>
  <c r="Y581" i="1"/>
  <c r="X581" i="1"/>
  <c r="AA580" i="1"/>
  <c r="Z580" i="1"/>
  <c r="Y580" i="1"/>
  <c r="AA579" i="1"/>
  <c r="Z579" i="1"/>
  <c r="X579" i="1"/>
  <c r="W579" i="1"/>
  <c r="AA578" i="1"/>
  <c r="Z578" i="1"/>
  <c r="X578" i="1"/>
  <c r="W578" i="1"/>
  <c r="AA577" i="1"/>
  <c r="Z577" i="1"/>
  <c r="Y577" i="1"/>
  <c r="X577" i="1"/>
  <c r="AA576" i="1"/>
  <c r="Z576" i="1"/>
  <c r="X576" i="1"/>
  <c r="W576" i="1"/>
  <c r="AA575" i="1"/>
  <c r="Z575" i="1"/>
  <c r="X575" i="1"/>
  <c r="W575" i="1"/>
  <c r="AA574" i="1"/>
  <c r="Z574" i="1"/>
  <c r="X574" i="1"/>
  <c r="W574" i="1"/>
  <c r="AA573" i="1"/>
  <c r="Z573" i="1"/>
  <c r="Y573" i="1"/>
  <c r="X573" i="1"/>
  <c r="AA572" i="1"/>
  <c r="Y572" i="1"/>
  <c r="X572" i="1"/>
  <c r="W572" i="1"/>
  <c r="AA571" i="1"/>
  <c r="Z571" i="1"/>
  <c r="X571" i="1"/>
  <c r="W571" i="1"/>
  <c r="AA570" i="1"/>
  <c r="Y570" i="1"/>
  <c r="X570" i="1"/>
  <c r="AA569" i="1"/>
  <c r="Y569" i="1"/>
  <c r="X569" i="1"/>
  <c r="AA567" i="1"/>
  <c r="Z567" i="1"/>
  <c r="Y567" i="1"/>
  <c r="U567" i="1"/>
  <c r="AA566" i="1"/>
  <c r="Z566" i="1"/>
  <c r="Y566" i="1"/>
  <c r="X566" i="1"/>
  <c r="AA563" i="1"/>
  <c r="Z563" i="1"/>
  <c r="Y563" i="1"/>
  <c r="X563" i="1"/>
  <c r="AA562" i="1"/>
  <c r="Z562" i="1"/>
  <c r="Y562" i="1"/>
  <c r="S562" i="1"/>
  <c r="AA560" i="1"/>
  <c r="Z560" i="1"/>
  <c r="Y560" i="1"/>
  <c r="S560" i="1"/>
  <c r="V560" i="1" s="1"/>
  <c r="AA559" i="1"/>
  <c r="Z559" i="1"/>
  <c r="X559" i="1"/>
  <c r="S559" i="1"/>
  <c r="AA558" i="1"/>
  <c r="Z558" i="1"/>
  <c r="Y558" i="1"/>
  <c r="X558" i="1"/>
  <c r="AA553" i="1"/>
  <c r="Z553" i="1"/>
  <c r="Y553" i="1"/>
  <c r="AA552" i="1"/>
  <c r="Z552" i="1"/>
  <c r="X552" i="1"/>
  <c r="S552" i="1"/>
  <c r="AA551" i="1"/>
  <c r="Z551" i="1"/>
  <c r="Y551" i="1"/>
  <c r="X551" i="1"/>
  <c r="AA550" i="1"/>
  <c r="Z550" i="1"/>
  <c r="Y550" i="1"/>
  <c r="AA549" i="1"/>
  <c r="Z549" i="1"/>
  <c r="Y549" i="1"/>
  <c r="X549" i="1"/>
  <c r="AA627" i="1"/>
  <c r="X627" i="1"/>
  <c r="AA548" i="1"/>
  <c r="Y548" i="1"/>
  <c r="X548" i="1"/>
  <c r="W548" i="1"/>
  <c r="AA547" i="1"/>
  <c r="Z547" i="1"/>
  <c r="Y547" i="1"/>
  <c r="X547" i="1"/>
  <c r="AA626" i="1"/>
  <c r="X626" i="1"/>
  <c r="AA546" i="1"/>
  <c r="Z546" i="1"/>
  <c r="Y546" i="1"/>
  <c r="X546" i="1"/>
  <c r="AA545" i="1"/>
  <c r="Z545" i="1"/>
  <c r="Y545" i="1"/>
  <c r="X545" i="1"/>
  <c r="AA544" i="1"/>
  <c r="Z544" i="1"/>
  <c r="Y544" i="1"/>
  <c r="S544" i="1"/>
  <c r="AA543" i="1"/>
  <c r="Z543" i="1"/>
  <c r="Y543" i="1"/>
  <c r="S543" i="1"/>
  <c r="AA542" i="1"/>
  <c r="Z542" i="1"/>
  <c r="Y542" i="1"/>
  <c r="S542" i="1"/>
  <c r="AA541" i="1"/>
  <c r="Z541" i="1"/>
  <c r="Y541" i="1"/>
  <c r="S541" i="1"/>
  <c r="AA540" i="1"/>
  <c r="Z540" i="1"/>
  <c r="Y540" i="1"/>
  <c r="S540" i="1"/>
  <c r="AA539" i="1"/>
  <c r="Z539" i="1"/>
  <c r="Y539" i="1"/>
  <c r="S539" i="1"/>
  <c r="AA538" i="1"/>
  <c r="Z538" i="1"/>
  <c r="Y538" i="1"/>
  <c r="S538" i="1"/>
  <c r="AA537" i="1"/>
  <c r="Z537" i="1"/>
  <c r="Y537" i="1"/>
  <c r="S537" i="1"/>
  <c r="AA536" i="1"/>
  <c r="Z536" i="1"/>
  <c r="Y536" i="1"/>
  <c r="S536" i="1"/>
  <c r="AA535" i="1"/>
  <c r="Z535" i="1"/>
  <c r="Y535" i="1"/>
  <c r="S535" i="1"/>
  <c r="AA534" i="1"/>
  <c r="Z534" i="1"/>
  <c r="Y534" i="1"/>
  <c r="AA533" i="1"/>
  <c r="Z533" i="1"/>
  <c r="Y533" i="1"/>
  <c r="S533" i="1"/>
  <c r="AA532" i="1"/>
  <c r="Z532" i="1"/>
  <c r="Y532" i="1"/>
  <c r="S532" i="1"/>
  <c r="AA518" i="1"/>
  <c r="Z518" i="1"/>
  <c r="Y518" i="1"/>
  <c r="S518" i="1"/>
  <c r="AA517" i="1"/>
  <c r="Z517" i="1"/>
  <c r="Y517" i="1"/>
  <c r="S517" i="1"/>
  <c r="AA516" i="1"/>
  <c r="Z516" i="1"/>
  <c r="Y516" i="1"/>
  <c r="S516" i="1"/>
  <c r="AA515" i="1"/>
  <c r="Z515" i="1"/>
  <c r="Y515" i="1"/>
  <c r="S515" i="1"/>
  <c r="AA514" i="1"/>
  <c r="Z514" i="1"/>
  <c r="Y514" i="1"/>
  <c r="S514" i="1"/>
  <c r="AA513" i="1"/>
  <c r="Z513" i="1"/>
  <c r="Y513" i="1"/>
  <c r="S513" i="1"/>
  <c r="AA512" i="1"/>
  <c r="Z512" i="1"/>
  <c r="Y512" i="1"/>
  <c r="S512" i="1"/>
  <c r="AA511" i="1"/>
  <c r="Z511" i="1"/>
  <c r="Y511" i="1"/>
  <c r="S511" i="1"/>
  <c r="AA510" i="1"/>
  <c r="Z510" i="1"/>
  <c r="Y510" i="1"/>
  <c r="S510" i="1"/>
  <c r="AA509" i="1"/>
  <c r="Z509" i="1"/>
  <c r="Y509" i="1"/>
  <c r="S509" i="1"/>
  <c r="AA508" i="1"/>
  <c r="Z508" i="1"/>
  <c r="Y508" i="1"/>
  <c r="S508" i="1"/>
  <c r="AA507" i="1"/>
  <c r="Z507" i="1"/>
  <c r="Y507" i="1"/>
  <c r="S507" i="1"/>
  <c r="AA506" i="1"/>
  <c r="Z506" i="1"/>
  <c r="Y506" i="1"/>
  <c r="S506" i="1"/>
  <c r="AA505" i="1"/>
  <c r="Z505" i="1"/>
  <c r="Y505" i="1"/>
  <c r="S505" i="1"/>
  <c r="AA504" i="1"/>
  <c r="Z504" i="1"/>
  <c r="Y504" i="1"/>
  <c r="S504" i="1"/>
  <c r="AA503" i="1"/>
  <c r="Z503" i="1"/>
  <c r="Y503" i="1"/>
  <c r="S503" i="1"/>
  <c r="AA502" i="1"/>
  <c r="Z502" i="1"/>
  <c r="Y502" i="1"/>
  <c r="S502" i="1"/>
  <c r="AA501" i="1"/>
  <c r="Z501" i="1"/>
  <c r="Y501" i="1"/>
  <c r="S501" i="1"/>
  <c r="AA500" i="1"/>
  <c r="Z500" i="1"/>
  <c r="Y500" i="1"/>
  <c r="S500" i="1"/>
  <c r="AA499" i="1"/>
  <c r="Z499" i="1"/>
  <c r="Y499" i="1"/>
  <c r="S499" i="1"/>
  <c r="AA498" i="1"/>
  <c r="Z498" i="1"/>
  <c r="Y498" i="1"/>
  <c r="S498" i="1"/>
  <c r="AA497" i="1"/>
  <c r="Z497" i="1"/>
  <c r="Y497" i="1"/>
  <c r="S497" i="1"/>
  <c r="AA496" i="1"/>
  <c r="Z496" i="1"/>
  <c r="Y496" i="1"/>
  <c r="S496" i="1"/>
  <c r="AA495" i="1"/>
  <c r="Z495" i="1"/>
  <c r="Y495" i="1"/>
  <c r="S495" i="1"/>
  <c r="AA494" i="1"/>
  <c r="Z494" i="1"/>
  <c r="Y494" i="1"/>
  <c r="S494" i="1"/>
  <c r="AA493" i="1"/>
  <c r="Z493" i="1"/>
  <c r="Y493" i="1"/>
  <c r="S493" i="1"/>
  <c r="AA492" i="1"/>
  <c r="Z492" i="1"/>
  <c r="Y492" i="1"/>
  <c r="S492" i="1"/>
  <c r="AA491" i="1"/>
  <c r="Z491" i="1"/>
  <c r="Y491" i="1"/>
  <c r="S491" i="1"/>
  <c r="AA490" i="1"/>
  <c r="Z490" i="1"/>
  <c r="Y490" i="1"/>
  <c r="S490" i="1"/>
  <c r="AA489" i="1"/>
  <c r="Z489" i="1"/>
  <c r="Y489" i="1"/>
  <c r="S489" i="1"/>
  <c r="AA488" i="1"/>
  <c r="Z488" i="1"/>
  <c r="Y488" i="1"/>
  <c r="S488" i="1"/>
  <c r="AA487" i="1"/>
  <c r="Z487" i="1"/>
  <c r="Y487" i="1"/>
  <c r="S487" i="1"/>
  <c r="AA486" i="1"/>
  <c r="Z486" i="1"/>
  <c r="Y486" i="1"/>
  <c r="S486" i="1"/>
  <c r="AA485" i="1"/>
  <c r="Z485" i="1"/>
  <c r="Y485" i="1"/>
  <c r="S485" i="1"/>
  <c r="AA484" i="1"/>
  <c r="Z484" i="1"/>
  <c r="Y484" i="1"/>
  <c r="S484" i="1"/>
  <c r="AA483" i="1"/>
  <c r="Z483" i="1"/>
  <c r="Y483" i="1"/>
  <c r="S483" i="1"/>
  <c r="AA482" i="1"/>
  <c r="Z482" i="1"/>
  <c r="Y482" i="1"/>
  <c r="S482" i="1"/>
  <c r="AA481" i="1"/>
  <c r="Z481" i="1"/>
  <c r="Y481" i="1"/>
  <c r="S481" i="1"/>
  <c r="AA480" i="1"/>
  <c r="Z480" i="1"/>
  <c r="Y480" i="1"/>
  <c r="X480" i="1"/>
  <c r="AA462" i="1"/>
  <c r="Z462" i="1"/>
  <c r="Y462" i="1"/>
  <c r="X462" i="1"/>
  <c r="AA461" i="1"/>
  <c r="Z461" i="1"/>
  <c r="Y461" i="1"/>
  <c r="S461" i="1"/>
  <c r="AA460" i="1"/>
  <c r="Z460" i="1"/>
  <c r="Y460" i="1"/>
  <c r="S460" i="1"/>
  <c r="AA459" i="1"/>
  <c r="Z459" i="1"/>
  <c r="Y459" i="1"/>
  <c r="S459" i="1"/>
  <c r="AA458" i="1"/>
  <c r="Z458" i="1"/>
  <c r="Y458" i="1"/>
  <c r="S458" i="1"/>
  <c r="AA457" i="1"/>
  <c r="Z457" i="1"/>
  <c r="Y457" i="1"/>
  <c r="S457" i="1"/>
  <c r="AA456" i="1"/>
  <c r="Z456" i="1"/>
  <c r="Y456" i="1"/>
  <c r="S456" i="1"/>
  <c r="AA455" i="1"/>
  <c r="Z455" i="1"/>
  <c r="Y455" i="1"/>
  <c r="S455" i="1"/>
  <c r="AA454" i="1"/>
  <c r="Z454" i="1"/>
  <c r="Y454" i="1"/>
  <c r="S454" i="1"/>
  <c r="AA453" i="1"/>
  <c r="Z453" i="1"/>
  <c r="Y453" i="1"/>
  <c r="S453" i="1"/>
  <c r="AA452" i="1"/>
  <c r="Z452" i="1"/>
  <c r="Y452" i="1"/>
  <c r="S452" i="1"/>
  <c r="AA451" i="1"/>
  <c r="Z451" i="1"/>
  <c r="Y451" i="1"/>
  <c r="S451" i="1"/>
  <c r="AA450" i="1"/>
  <c r="Z450" i="1"/>
  <c r="Y450" i="1"/>
  <c r="S450" i="1"/>
  <c r="AA436" i="1"/>
  <c r="Z436" i="1"/>
  <c r="Y436" i="1"/>
  <c r="S436" i="1"/>
  <c r="AA435" i="1"/>
  <c r="Z435" i="1"/>
  <c r="Y435" i="1"/>
  <c r="S435" i="1"/>
  <c r="AA434" i="1"/>
  <c r="Z434" i="1"/>
  <c r="Y434" i="1"/>
  <c r="S434" i="1"/>
  <c r="AA433" i="1"/>
  <c r="Z433" i="1"/>
  <c r="Y433" i="1"/>
  <c r="S433" i="1"/>
  <c r="AA432" i="1"/>
  <c r="Z432" i="1"/>
  <c r="Y432" i="1"/>
  <c r="S432" i="1"/>
  <c r="AA431" i="1"/>
  <c r="Z431" i="1"/>
  <c r="Y431" i="1"/>
  <c r="S431" i="1"/>
  <c r="AA430" i="1"/>
  <c r="Z430" i="1"/>
  <c r="Y430" i="1"/>
  <c r="S430" i="1"/>
  <c r="AA429" i="1"/>
  <c r="Z429" i="1"/>
  <c r="Y429" i="1"/>
  <c r="S429" i="1"/>
  <c r="AA428" i="1"/>
  <c r="Z428" i="1"/>
  <c r="Y428" i="1"/>
  <c r="S428" i="1"/>
  <c r="AA427" i="1"/>
  <c r="Z427" i="1"/>
  <c r="Y427" i="1"/>
  <c r="S427" i="1"/>
  <c r="AA426" i="1"/>
  <c r="Z426" i="1"/>
  <c r="Y426" i="1"/>
  <c r="S426" i="1"/>
  <c r="AA425" i="1"/>
  <c r="Z425" i="1"/>
  <c r="Y425" i="1"/>
  <c r="S425" i="1"/>
  <c r="AA424" i="1"/>
  <c r="Z424" i="1"/>
  <c r="Y424" i="1"/>
  <c r="S424" i="1"/>
  <c r="AA423" i="1"/>
  <c r="Z423" i="1"/>
  <c r="Y423" i="1"/>
  <c r="S423" i="1"/>
  <c r="AA422" i="1"/>
  <c r="Z422" i="1"/>
  <c r="Y422" i="1"/>
  <c r="S422" i="1"/>
  <c r="AA421" i="1"/>
  <c r="Z421" i="1"/>
  <c r="Y421" i="1"/>
  <c r="S421" i="1"/>
  <c r="AA420" i="1"/>
  <c r="Z420" i="1"/>
  <c r="Y420" i="1"/>
  <c r="S420" i="1"/>
  <c r="AA419" i="1"/>
  <c r="Z419" i="1"/>
  <c r="Y419" i="1"/>
  <c r="S419" i="1"/>
  <c r="AA418" i="1"/>
  <c r="Z418" i="1"/>
  <c r="Y418" i="1"/>
  <c r="S418" i="1"/>
  <c r="AA417" i="1"/>
  <c r="Z417" i="1"/>
  <c r="Y417" i="1"/>
  <c r="S417" i="1"/>
  <c r="AA416" i="1"/>
  <c r="Z416" i="1"/>
  <c r="Y416" i="1"/>
  <c r="S416" i="1"/>
  <c r="AA415" i="1"/>
  <c r="Z415" i="1"/>
  <c r="Y415" i="1"/>
  <c r="S415" i="1"/>
  <c r="AA414" i="1"/>
  <c r="Z414" i="1"/>
  <c r="Y414" i="1"/>
  <c r="AA413" i="1"/>
  <c r="Z413" i="1"/>
  <c r="Y413" i="1"/>
  <c r="S413" i="1"/>
  <c r="AA412" i="1"/>
  <c r="Z412" i="1"/>
  <c r="Y412" i="1"/>
  <c r="S412" i="1"/>
  <c r="AA411" i="1"/>
  <c r="Z411" i="1"/>
  <c r="Y411" i="1"/>
  <c r="S411" i="1"/>
  <c r="AA410" i="1"/>
  <c r="Z410" i="1"/>
  <c r="Y410" i="1"/>
  <c r="S410" i="1"/>
  <c r="AA409" i="1"/>
  <c r="Z409" i="1"/>
  <c r="Y409" i="1"/>
  <c r="S409" i="1"/>
  <c r="AA408" i="1"/>
  <c r="Z408" i="1"/>
  <c r="Y408" i="1"/>
  <c r="S408" i="1"/>
  <c r="AA407" i="1"/>
  <c r="Z407" i="1"/>
  <c r="Y407" i="1"/>
  <c r="S407" i="1"/>
  <c r="AA406" i="1"/>
  <c r="Z406" i="1"/>
  <c r="Y406" i="1"/>
  <c r="S406" i="1"/>
  <c r="AA405" i="1"/>
  <c r="Z405" i="1"/>
  <c r="Y405" i="1"/>
  <c r="S405" i="1"/>
  <c r="AA404" i="1"/>
  <c r="Z404" i="1"/>
  <c r="Y404" i="1"/>
  <c r="S404" i="1"/>
  <c r="AA403" i="1"/>
  <c r="Z403" i="1"/>
  <c r="Y403" i="1"/>
  <c r="S403" i="1"/>
  <c r="AA402" i="1"/>
  <c r="Z402" i="1"/>
  <c r="Y402" i="1"/>
  <c r="S402" i="1"/>
  <c r="AA401" i="1"/>
  <c r="Z401" i="1"/>
  <c r="Y401" i="1"/>
  <c r="S401" i="1"/>
  <c r="AA400" i="1"/>
  <c r="Z400" i="1"/>
  <c r="Y400" i="1"/>
  <c r="S400" i="1"/>
  <c r="AA399" i="1"/>
  <c r="Z399" i="1"/>
  <c r="Y399" i="1"/>
  <c r="S399" i="1"/>
  <c r="AA398" i="1"/>
  <c r="Z398" i="1"/>
  <c r="Y398" i="1"/>
  <c r="X398" i="1"/>
  <c r="AA397" i="1"/>
  <c r="Z397" i="1"/>
  <c r="Y397" i="1"/>
  <c r="X397" i="1"/>
  <c r="AA365" i="1"/>
  <c r="Z365" i="1"/>
  <c r="Y365" i="1"/>
  <c r="S365" i="1"/>
  <c r="AA364" i="1"/>
  <c r="Z364" i="1"/>
  <c r="Y364" i="1"/>
  <c r="S364" i="1"/>
  <c r="AA363" i="1"/>
  <c r="Z363" i="1"/>
  <c r="Y363" i="1"/>
  <c r="S363" i="1"/>
  <c r="AA362" i="1"/>
  <c r="Z362" i="1"/>
  <c r="Y362" i="1"/>
  <c r="S362" i="1"/>
  <c r="AA361" i="1"/>
  <c r="Z361" i="1"/>
  <c r="Y361" i="1"/>
  <c r="S361" i="1"/>
  <c r="AA360" i="1"/>
  <c r="Z360" i="1"/>
  <c r="Y360" i="1"/>
  <c r="S360" i="1"/>
  <c r="AA359" i="1"/>
  <c r="Z359" i="1"/>
  <c r="Y359" i="1"/>
  <c r="S359" i="1"/>
  <c r="AA358" i="1"/>
  <c r="Z358" i="1"/>
  <c r="Y358" i="1"/>
  <c r="S358" i="1"/>
  <c r="AA357" i="1"/>
  <c r="Z357" i="1"/>
  <c r="Y357" i="1"/>
  <c r="S357" i="1"/>
  <c r="AA356" i="1"/>
  <c r="Z356" i="1"/>
  <c r="Y356" i="1"/>
  <c r="S356" i="1"/>
  <c r="AA355" i="1"/>
  <c r="Z355" i="1"/>
  <c r="Y355" i="1"/>
  <c r="S355" i="1"/>
  <c r="AA354" i="1"/>
  <c r="Z354" i="1"/>
  <c r="Y354" i="1"/>
  <c r="S354" i="1"/>
  <c r="AA353" i="1"/>
  <c r="Z353" i="1"/>
  <c r="Y353" i="1"/>
  <c r="S353" i="1"/>
  <c r="AA352" i="1"/>
  <c r="Z352" i="1"/>
  <c r="Y352" i="1"/>
  <c r="S352" i="1"/>
  <c r="AA351" i="1"/>
  <c r="Z351" i="1"/>
  <c r="Y351" i="1"/>
  <c r="S351" i="1"/>
  <c r="AA350" i="1"/>
  <c r="Z350" i="1"/>
  <c r="Y350" i="1"/>
  <c r="S350" i="1"/>
  <c r="AA349" i="1"/>
  <c r="Z349" i="1"/>
  <c r="Y349" i="1"/>
  <c r="S349" i="1"/>
  <c r="AA348" i="1"/>
  <c r="Z348" i="1"/>
  <c r="Y348" i="1"/>
  <c r="S348" i="1"/>
  <c r="AA347" i="1"/>
  <c r="Z347" i="1"/>
  <c r="Y347" i="1"/>
  <c r="S347" i="1"/>
  <c r="AA346" i="1"/>
  <c r="Z346" i="1"/>
  <c r="Y346" i="1"/>
  <c r="S346" i="1"/>
  <c r="AA345" i="1"/>
  <c r="Z345" i="1"/>
  <c r="Y345" i="1"/>
  <c r="S345" i="1"/>
  <c r="AA344" i="1"/>
  <c r="Z344" i="1"/>
  <c r="Y344" i="1"/>
  <c r="S344" i="1"/>
  <c r="AA343" i="1"/>
  <c r="Z343" i="1"/>
  <c r="Y343" i="1"/>
  <c r="S343" i="1"/>
  <c r="AA342" i="1"/>
  <c r="Z342" i="1"/>
  <c r="Y342" i="1"/>
  <c r="S342" i="1"/>
  <c r="AA341" i="1"/>
  <c r="Z341" i="1"/>
  <c r="Y341" i="1"/>
  <c r="S341" i="1"/>
  <c r="AA340" i="1"/>
  <c r="Z340" i="1"/>
  <c r="Y340" i="1"/>
  <c r="S340" i="1"/>
  <c r="AA339" i="1"/>
  <c r="Z339" i="1"/>
  <c r="Y339" i="1"/>
  <c r="S339" i="1"/>
  <c r="AA338" i="1"/>
  <c r="Z338" i="1"/>
  <c r="Y338" i="1"/>
  <c r="S338" i="1"/>
  <c r="AA337" i="1"/>
  <c r="Z337" i="1"/>
  <c r="Y337" i="1"/>
  <c r="S337" i="1"/>
  <c r="AA336" i="1"/>
  <c r="Z336" i="1"/>
  <c r="Y336" i="1"/>
  <c r="S336" i="1"/>
  <c r="AA335" i="1"/>
  <c r="Z335" i="1"/>
  <c r="Y335" i="1"/>
  <c r="S335" i="1"/>
  <c r="AA334" i="1"/>
  <c r="Z334" i="1"/>
  <c r="Y334" i="1"/>
  <c r="S334" i="1"/>
  <c r="AA333" i="1"/>
  <c r="Z333" i="1"/>
  <c r="Y333" i="1"/>
  <c r="S333" i="1"/>
  <c r="AA332" i="1"/>
  <c r="Z332" i="1"/>
  <c r="Y332" i="1"/>
  <c r="S332" i="1"/>
  <c r="AA331" i="1"/>
  <c r="Z331" i="1"/>
  <c r="Y331" i="1"/>
  <c r="S331" i="1"/>
  <c r="AA330" i="1"/>
  <c r="Z330" i="1"/>
  <c r="Y330" i="1"/>
  <c r="S330" i="1"/>
  <c r="AA329" i="1"/>
  <c r="Z329" i="1"/>
  <c r="Y329" i="1"/>
  <c r="S329" i="1"/>
  <c r="AA328" i="1"/>
  <c r="Z328" i="1"/>
  <c r="Y328" i="1"/>
  <c r="S328" i="1"/>
  <c r="AA327" i="1"/>
  <c r="Z327" i="1"/>
  <c r="Y327" i="1"/>
  <c r="S327" i="1"/>
  <c r="AA326" i="1"/>
  <c r="Z326" i="1"/>
  <c r="Y326" i="1"/>
  <c r="S326" i="1"/>
  <c r="AA325" i="1"/>
  <c r="Z325" i="1"/>
  <c r="Y325" i="1"/>
  <c r="S325" i="1"/>
  <c r="AA324" i="1"/>
  <c r="Z324" i="1"/>
  <c r="Y324" i="1"/>
  <c r="S324" i="1"/>
  <c r="AA323" i="1"/>
  <c r="Z323" i="1"/>
  <c r="Y323" i="1"/>
  <c r="S323" i="1"/>
  <c r="AA322" i="1"/>
  <c r="Z322" i="1"/>
  <c r="Y322" i="1"/>
  <c r="S322" i="1"/>
  <c r="AA321" i="1"/>
  <c r="Z321" i="1"/>
  <c r="Y321" i="1"/>
  <c r="S321" i="1"/>
  <c r="AA320" i="1"/>
  <c r="Z320" i="1"/>
  <c r="Y320" i="1"/>
  <c r="S320" i="1"/>
  <c r="AA319" i="1"/>
  <c r="Z319" i="1"/>
  <c r="Y319" i="1"/>
  <c r="S319" i="1"/>
  <c r="AA318" i="1"/>
  <c r="Z318" i="1"/>
  <c r="Y318" i="1"/>
  <c r="S318" i="1"/>
  <c r="AA317" i="1"/>
  <c r="Z317" i="1"/>
  <c r="Y317" i="1"/>
  <c r="S317" i="1"/>
  <c r="AA316" i="1"/>
  <c r="Z316" i="1"/>
  <c r="Y316" i="1"/>
  <c r="S316" i="1"/>
  <c r="AA315" i="1"/>
  <c r="Z315" i="1"/>
  <c r="Y315" i="1"/>
  <c r="S315" i="1"/>
  <c r="AA314" i="1"/>
  <c r="Z314" i="1"/>
  <c r="Y314" i="1"/>
  <c r="S314" i="1"/>
  <c r="AA313" i="1"/>
  <c r="Z313" i="1"/>
  <c r="Y313" i="1"/>
  <c r="S313" i="1"/>
  <c r="AA312" i="1"/>
  <c r="Z312" i="1"/>
  <c r="Y312" i="1"/>
  <c r="S312" i="1"/>
  <c r="AA311" i="1"/>
  <c r="Z311" i="1"/>
  <c r="Y311" i="1"/>
  <c r="S311" i="1"/>
  <c r="AA310" i="1"/>
  <c r="Z310" i="1"/>
  <c r="Y310" i="1"/>
  <c r="S310" i="1"/>
  <c r="AA309" i="1"/>
  <c r="Z309" i="1"/>
  <c r="Y309" i="1"/>
  <c r="S309" i="1"/>
  <c r="AA308" i="1"/>
  <c r="Z308" i="1"/>
  <c r="Y308" i="1"/>
  <c r="S308" i="1"/>
  <c r="AA307" i="1"/>
  <c r="Z307" i="1"/>
  <c r="Y307" i="1"/>
  <c r="S307" i="1"/>
  <c r="AA306" i="1"/>
  <c r="Z306" i="1"/>
  <c r="Y306" i="1"/>
  <c r="S306" i="1"/>
  <c r="AA305" i="1"/>
  <c r="Z305" i="1"/>
  <c r="Y305" i="1"/>
  <c r="S305" i="1"/>
  <c r="AA304" i="1"/>
  <c r="Z304" i="1"/>
  <c r="Y304" i="1"/>
  <c r="S304" i="1"/>
  <c r="AA303" i="1"/>
  <c r="Z303" i="1"/>
  <c r="Y303" i="1"/>
  <c r="S303" i="1"/>
  <c r="AA302" i="1"/>
  <c r="Z302" i="1"/>
  <c r="Y302" i="1"/>
  <c r="S302" i="1"/>
  <c r="AA301" i="1"/>
  <c r="Z301" i="1"/>
  <c r="Y301" i="1"/>
  <c r="S301" i="1"/>
  <c r="AA300" i="1"/>
  <c r="Z300" i="1"/>
  <c r="Y300" i="1"/>
  <c r="S300" i="1"/>
  <c r="AA299" i="1"/>
  <c r="Z299" i="1"/>
  <c r="Y299" i="1"/>
  <c r="S299" i="1"/>
  <c r="AA298" i="1"/>
  <c r="Z298" i="1"/>
  <c r="Y298" i="1"/>
  <c r="S298" i="1"/>
  <c r="AA297" i="1"/>
  <c r="Z297" i="1"/>
  <c r="Y297" i="1"/>
  <c r="S297" i="1"/>
  <c r="AA296" i="1"/>
  <c r="Z296" i="1"/>
  <c r="Y296" i="1"/>
  <c r="S296" i="1"/>
  <c r="AA295" i="1"/>
  <c r="Z295" i="1"/>
  <c r="Y295" i="1"/>
  <c r="S295" i="1"/>
  <c r="AA294" i="1"/>
  <c r="Z294" i="1"/>
  <c r="Y294" i="1"/>
  <c r="S294" i="1"/>
  <c r="AA293" i="1"/>
  <c r="Z293" i="1"/>
  <c r="Y293" i="1"/>
  <c r="S293" i="1"/>
  <c r="AA292" i="1"/>
  <c r="Z292" i="1"/>
  <c r="Y292" i="1"/>
  <c r="S292" i="1"/>
  <c r="AA291" i="1"/>
  <c r="Z291" i="1"/>
  <c r="Y291" i="1"/>
  <c r="S291" i="1"/>
  <c r="AA290" i="1"/>
  <c r="Z290" i="1"/>
  <c r="Y290" i="1"/>
  <c r="S290" i="1"/>
  <c r="AA289" i="1"/>
  <c r="Z289" i="1"/>
  <c r="Y289" i="1"/>
  <c r="S289" i="1"/>
  <c r="AA288" i="1"/>
  <c r="Z288" i="1"/>
  <c r="Y288" i="1"/>
  <c r="X288" i="1"/>
  <c r="AA287" i="1"/>
  <c r="Z287" i="1"/>
  <c r="Y287" i="1"/>
  <c r="X287" i="1"/>
  <c r="AA259" i="1"/>
  <c r="Z259" i="1"/>
  <c r="Y259" i="1"/>
  <c r="S259" i="1"/>
  <c r="AA258" i="1"/>
  <c r="Z258" i="1"/>
  <c r="Y258" i="1"/>
  <c r="S258" i="1"/>
  <c r="AA257" i="1"/>
  <c r="Z257" i="1"/>
  <c r="Y257" i="1"/>
  <c r="S257" i="1"/>
  <c r="AA256" i="1"/>
  <c r="Z256" i="1"/>
  <c r="Y256" i="1"/>
  <c r="S256" i="1"/>
  <c r="AA255" i="1"/>
  <c r="Z255" i="1"/>
  <c r="Y255" i="1"/>
  <c r="S255" i="1"/>
  <c r="AA254" i="1"/>
  <c r="Z254" i="1"/>
  <c r="Y254" i="1"/>
  <c r="S254" i="1"/>
  <c r="AA253" i="1"/>
  <c r="Z253" i="1"/>
  <c r="Y253" i="1"/>
  <c r="S253" i="1"/>
  <c r="AA252" i="1"/>
  <c r="Z252" i="1"/>
  <c r="Y252" i="1"/>
  <c r="S252" i="1"/>
  <c r="AA251" i="1"/>
  <c r="Z251" i="1"/>
  <c r="Y251" i="1"/>
  <c r="S251" i="1"/>
  <c r="AA250" i="1"/>
  <c r="Z250" i="1"/>
  <c r="Y250" i="1"/>
  <c r="S250" i="1"/>
  <c r="AA249" i="1"/>
  <c r="Z249" i="1"/>
  <c r="Y249" i="1"/>
  <c r="S249" i="1"/>
  <c r="AA248" i="1"/>
  <c r="Z248" i="1"/>
  <c r="Y248" i="1"/>
  <c r="S248" i="1"/>
  <c r="AA247" i="1"/>
  <c r="Z247" i="1"/>
  <c r="Y247" i="1"/>
  <c r="S247" i="1"/>
  <c r="AA246" i="1"/>
  <c r="Z246" i="1"/>
  <c r="Y246" i="1"/>
  <c r="S246" i="1"/>
  <c r="AA245" i="1"/>
  <c r="Z245" i="1"/>
  <c r="Y245" i="1"/>
  <c r="S245" i="1"/>
  <c r="AA243" i="1"/>
  <c r="Z243" i="1"/>
  <c r="Y243" i="1"/>
  <c r="AA242" i="1"/>
  <c r="Z242" i="1"/>
  <c r="Y242" i="1"/>
  <c r="S242" i="1"/>
  <c r="AA241" i="1"/>
  <c r="Z241" i="1"/>
  <c r="Y241" i="1"/>
  <c r="S241" i="1"/>
  <c r="AA240" i="1"/>
  <c r="Z240" i="1"/>
  <c r="Y240" i="1"/>
  <c r="S240" i="1"/>
  <c r="AA239" i="1"/>
  <c r="Z239" i="1"/>
  <c r="Y239" i="1"/>
  <c r="S239" i="1"/>
  <c r="AA238" i="1"/>
  <c r="Z238" i="1"/>
  <c r="Y238" i="1"/>
  <c r="S238" i="1"/>
  <c r="AA237" i="1"/>
  <c r="Z237" i="1"/>
  <c r="Y237" i="1"/>
  <c r="S237" i="1"/>
  <c r="AA236" i="1"/>
  <c r="Z236" i="1"/>
  <c r="Y236" i="1"/>
  <c r="S236" i="1"/>
  <c r="AA235" i="1"/>
  <c r="Z235" i="1"/>
  <c r="Y235" i="1"/>
  <c r="S235" i="1"/>
  <c r="AA234" i="1"/>
  <c r="Z234" i="1"/>
  <c r="Y234" i="1"/>
  <c r="S234" i="1"/>
  <c r="AA233" i="1"/>
  <c r="Z233" i="1"/>
  <c r="Y233" i="1"/>
  <c r="S233" i="1"/>
  <c r="AA232" i="1"/>
  <c r="Z232" i="1"/>
  <c r="Y232" i="1"/>
  <c r="S232" i="1"/>
  <c r="AA231" i="1"/>
  <c r="Z231" i="1"/>
  <c r="Y231" i="1"/>
  <c r="S231" i="1"/>
  <c r="AA230" i="1"/>
  <c r="Z230" i="1"/>
  <c r="Y230" i="1"/>
  <c r="S230" i="1"/>
  <c r="AA229" i="1"/>
  <c r="Z229" i="1"/>
  <c r="Y229" i="1"/>
  <c r="S229" i="1"/>
  <c r="AA228" i="1"/>
  <c r="Z228" i="1"/>
  <c r="Y228" i="1"/>
  <c r="S228" i="1"/>
  <c r="AA227" i="1"/>
  <c r="Z227" i="1"/>
  <c r="Y227" i="1"/>
  <c r="S227" i="1"/>
  <c r="AA226" i="1"/>
  <c r="Z226" i="1"/>
  <c r="Y226" i="1"/>
  <c r="S226" i="1"/>
  <c r="AA225" i="1"/>
  <c r="Z225" i="1"/>
  <c r="Y225" i="1"/>
  <c r="S225" i="1"/>
  <c r="AA224" i="1"/>
  <c r="Z224" i="1"/>
  <c r="Y224" i="1"/>
  <c r="S224" i="1"/>
  <c r="AA223" i="1"/>
  <c r="Z223" i="1"/>
  <c r="Y223" i="1"/>
  <c r="S223" i="1"/>
  <c r="AA222" i="1"/>
  <c r="Z222" i="1"/>
  <c r="Y222" i="1"/>
  <c r="S222" i="1"/>
  <c r="AA221" i="1"/>
  <c r="Z221" i="1"/>
  <c r="Y221" i="1"/>
  <c r="S221" i="1"/>
  <c r="AA220" i="1"/>
  <c r="Z220" i="1"/>
  <c r="Y220" i="1"/>
  <c r="S220" i="1"/>
  <c r="AA219" i="1"/>
  <c r="Z219" i="1"/>
  <c r="Y219" i="1"/>
  <c r="S219" i="1"/>
  <c r="AA218" i="1"/>
  <c r="Z218" i="1"/>
  <c r="Y218" i="1"/>
  <c r="S218" i="1"/>
  <c r="AA217" i="1"/>
  <c r="Z217" i="1"/>
  <c r="Y217" i="1"/>
  <c r="S217" i="1"/>
  <c r="AA216" i="1"/>
  <c r="Z216" i="1"/>
  <c r="Y216" i="1"/>
  <c r="S216" i="1"/>
  <c r="AA215" i="1"/>
  <c r="Z215" i="1"/>
  <c r="Y215" i="1"/>
  <c r="S215" i="1"/>
  <c r="AA214" i="1"/>
  <c r="Z214" i="1"/>
  <c r="Y214" i="1"/>
  <c r="S214" i="1"/>
  <c r="AA213" i="1"/>
  <c r="Z213" i="1"/>
  <c r="Y213" i="1"/>
  <c r="S213" i="1"/>
  <c r="AA212" i="1"/>
  <c r="Z212" i="1"/>
  <c r="Y212" i="1"/>
  <c r="S212" i="1"/>
  <c r="AA211" i="1"/>
  <c r="Z211" i="1"/>
  <c r="Y211" i="1"/>
  <c r="S211" i="1"/>
  <c r="AA210" i="1"/>
  <c r="Z210" i="1"/>
  <c r="Y210" i="1"/>
  <c r="S210" i="1"/>
  <c r="AA209" i="1"/>
  <c r="Z209" i="1"/>
  <c r="Y209" i="1"/>
  <c r="S209" i="1"/>
  <c r="AA208" i="1"/>
  <c r="Z208" i="1"/>
  <c r="Y208" i="1"/>
  <c r="S208" i="1"/>
  <c r="AA207" i="1"/>
  <c r="Z207" i="1"/>
  <c r="Y207" i="1"/>
  <c r="S207" i="1"/>
  <c r="AA206" i="1"/>
  <c r="Z206" i="1"/>
  <c r="Y206" i="1"/>
  <c r="S206" i="1"/>
  <c r="AA205" i="1"/>
  <c r="Z205" i="1"/>
  <c r="Y205" i="1"/>
  <c r="S205" i="1"/>
  <c r="AA204" i="1"/>
  <c r="Z204" i="1"/>
  <c r="Y204" i="1"/>
  <c r="S204" i="1"/>
  <c r="AA203" i="1"/>
  <c r="Z203" i="1"/>
  <c r="Y203" i="1"/>
  <c r="S203" i="1"/>
  <c r="AA202" i="1"/>
  <c r="Z202" i="1"/>
  <c r="Y202" i="1"/>
  <c r="S202" i="1"/>
  <c r="AA201" i="1"/>
  <c r="Z201" i="1"/>
  <c r="Y201" i="1"/>
  <c r="S201" i="1"/>
  <c r="AA200" i="1"/>
  <c r="Z200" i="1"/>
  <c r="Y200" i="1"/>
  <c r="S200" i="1"/>
  <c r="AA199" i="1"/>
  <c r="Z199" i="1"/>
  <c r="Y199" i="1"/>
  <c r="S199" i="1"/>
  <c r="AA198" i="1"/>
  <c r="Z198" i="1"/>
  <c r="Y198" i="1"/>
  <c r="S198" i="1"/>
  <c r="AA197" i="1"/>
  <c r="Z197" i="1"/>
  <c r="Y197" i="1"/>
  <c r="S197" i="1"/>
  <c r="AA196" i="1"/>
  <c r="Z196" i="1"/>
  <c r="Y196" i="1"/>
  <c r="S196" i="1"/>
  <c r="AA195" i="1"/>
  <c r="Z195" i="1"/>
  <c r="Y195" i="1"/>
  <c r="S195" i="1"/>
  <c r="AA194" i="1"/>
  <c r="Z194" i="1"/>
  <c r="Y194" i="1"/>
  <c r="S194" i="1"/>
  <c r="AA193" i="1"/>
  <c r="Z193" i="1"/>
  <c r="Y193" i="1"/>
  <c r="S193" i="1"/>
  <c r="AA192" i="1"/>
  <c r="Z192" i="1"/>
  <c r="Y192" i="1"/>
  <c r="S192" i="1"/>
  <c r="AA191" i="1"/>
  <c r="Z191" i="1"/>
  <c r="Y191" i="1"/>
  <c r="S191" i="1"/>
  <c r="AA190" i="1"/>
  <c r="Z190" i="1"/>
  <c r="Y190" i="1"/>
  <c r="S190" i="1"/>
  <c r="AA189" i="1"/>
  <c r="Z189" i="1"/>
  <c r="Y189" i="1"/>
  <c r="S189" i="1"/>
  <c r="AA188" i="1"/>
  <c r="Z188" i="1"/>
  <c r="Y188" i="1"/>
  <c r="S188" i="1"/>
  <c r="AA187" i="1"/>
  <c r="Z187" i="1"/>
  <c r="Y187" i="1"/>
  <c r="S187" i="1"/>
  <c r="AA186" i="1"/>
  <c r="Z186" i="1"/>
  <c r="Y186" i="1"/>
  <c r="X186" i="1"/>
  <c r="Z608" i="1"/>
  <c r="X608" i="1"/>
  <c r="AA607" i="1"/>
  <c r="Z607" i="1"/>
  <c r="X607" i="1"/>
  <c r="AA185" i="1"/>
  <c r="Z185" i="1"/>
  <c r="Y185" i="1"/>
  <c r="X185" i="1"/>
  <c r="AA184" i="1"/>
  <c r="Z184" i="1"/>
  <c r="Y184" i="1"/>
  <c r="S184" i="1"/>
  <c r="AA183" i="1"/>
  <c r="Z183" i="1"/>
  <c r="Y183" i="1"/>
  <c r="S183" i="1"/>
  <c r="AA182" i="1"/>
  <c r="Z182" i="1"/>
  <c r="Y182" i="1"/>
  <c r="S182" i="1"/>
  <c r="AA181" i="1"/>
  <c r="Z181" i="1"/>
  <c r="Y181" i="1"/>
  <c r="S181" i="1"/>
  <c r="AA180" i="1"/>
  <c r="Z180" i="1"/>
  <c r="Y180" i="1"/>
  <c r="S180" i="1"/>
  <c r="AA179" i="1"/>
  <c r="Z179" i="1"/>
  <c r="Y179" i="1"/>
  <c r="S179" i="1"/>
  <c r="AA178" i="1"/>
  <c r="Z178" i="1"/>
  <c r="Y178" i="1"/>
  <c r="S178" i="1"/>
  <c r="AA177" i="1"/>
  <c r="Z177" i="1"/>
  <c r="Y177" i="1"/>
  <c r="S177" i="1"/>
  <c r="AA176" i="1"/>
  <c r="Z176" i="1"/>
  <c r="Y176" i="1"/>
  <c r="S176" i="1"/>
  <c r="AA175" i="1"/>
  <c r="Z175" i="1"/>
  <c r="Y175" i="1"/>
  <c r="S175" i="1"/>
  <c r="AA174" i="1"/>
  <c r="Z174" i="1"/>
  <c r="Y174" i="1"/>
  <c r="S174" i="1"/>
  <c r="AA173" i="1"/>
  <c r="Z173" i="1"/>
  <c r="Y173" i="1"/>
  <c r="S173" i="1"/>
  <c r="AA172" i="1"/>
  <c r="Z172" i="1"/>
  <c r="Y172" i="1"/>
  <c r="S172" i="1"/>
  <c r="AA171" i="1"/>
  <c r="Z171" i="1"/>
  <c r="Y171" i="1"/>
  <c r="S171" i="1"/>
  <c r="AA170" i="1"/>
  <c r="Z170" i="1"/>
  <c r="Y170" i="1"/>
  <c r="S170" i="1"/>
  <c r="AA169" i="1"/>
  <c r="Z169" i="1"/>
  <c r="Y169" i="1"/>
  <c r="S169" i="1"/>
  <c r="AA168" i="1"/>
  <c r="Z168" i="1"/>
  <c r="Y168" i="1"/>
  <c r="S168" i="1"/>
  <c r="AA167" i="1"/>
  <c r="Z167" i="1"/>
  <c r="Y167" i="1"/>
  <c r="S167" i="1"/>
  <c r="AA166" i="1"/>
  <c r="Z166" i="1"/>
  <c r="Y166" i="1"/>
  <c r="S166" i="1"/>
  <c r="AA165" i="1"/>
  <c r="Z165" i="1"/>
  <c r="Y165" i="1"/>
  <c r="S165" i="1"/>
  <c r="AA164" i="1"/>
  <c r="Z164" i="1"/>
  <c r="Y164" i="1"/>
  <c r="S164" i="1"/>
  <c r="AA163" i="1"/>
  <c r="Z163" i="1"/>
  <c r="Y163" i="1"/>
  <c r="S163" i="1"/>
  <c r="AA162" i="1"/>
  <c r="Z162" i="1"/>
  <c r="Y162" i="1"/>
  <c r="S162" i="1"/>
  <c r="AA161" i="1"/>
  <c r="Z161" i="1"/>
  <c r="Y161" i="1"/>
  <c r="S161" i="1"/>
  <c r="AA160" i="1"/>
  <c r="Z160" i="1"/>
  <c r="Y160" i="1"/>
  <c r="S160" i="1"/>
  <c r="AA159" i="1"/>
  <c r="Z159" i="1"/>
  <c r="Y159" i="1"/>
  <c r="S159" i="1"/>
  <c r="AA158" i="1"/>
  <c r="Z158" i="1"/>
  <c r="Y158" i="1"/>
  <c r="S158" i="1"/>
  <c r="AA157" i="1"/>
  <c r="Z157" i="1"/>
  <c r="Y157" i="1"/>
  <c r="S157" i="1"/>
  <c r="AA156" i="1"/>
  <c r="Z156" i="1"/>
  <c r="Y156" i="1"/>
  <c r="S156" i="1"/>
  <c r="AA155" i="1"/>
  <c r="Z155" i="1"/>
  <c r="Y155" i="1"/>
  <c r="S155" i="1"/>
  <c r="AA154" i="1"/>
  <c r="Z154" i="1"/>
  <c r="Y154" i="1"/>
  <c r="S154" i="1"/>
  <c r="AA153" i="1"/>
  <c r="Z153" i="1"/>
  <c r="Y153" i="1"/>
  <c r="S153" i="1"/>
  <c r="AA152" i="1"/>
  <c r="Z152" i="1"/>
  <c r="Y152" i="1"/>
  <c r="S152" i="1"/>
  <c r="AA151" i="1"/>
  <c r="Z151" i="1"/>
  <c r="Y151" i="1"/>
  <c r="S151" i="1"/>
  <c r="AA150" i="1"/>
  <c r="Z150" i="1"/>
  <c r="Y150" i="1"/>
  <c r="S150" i="1"/>
  <c r="AA149" i="1"/>
  <c r="Z149" i="1"/>
  <c r="Y149" i="1"/>
  <c r="S149" i="1"/>
  <c r="AA135" i="1"/>
  <c r="Z135" i="1"/>
  <c r="Y135" i="1"/>
  <c r="S135" i="1"/>
  <c r="AA134" i="1"/>
  <c r="Z134" i="1"/>
  <c r="Y134" i="1"/>
  <c r="S134" i="1"/>
  <c r="AA133" i="1"/>
  <c r="Z133" i="1"/>
  <c r="Y133" i="1"/>
  <c r="S133" i="1"/>
  <c r="AA132" i="1"/>
  <c r="Z132" i="1"/>
  <c r="Y132" i="1"/>
  <c r="S132" i="1"/>
  <c r="AA131" i="1"/>
  <c r="Z131" i="1"/>
  <c r="Y131" i="1"/>
  <c r="S131" i="1"/>
  <c r="AA130" i="1"/>
  <c r="Z130" i="1"/>
  <c r="Y130" i="1"/>
  <c r="S130" i="1"/>
  <c r="AA129" i="1"/>
  <c r="Z129" i="1"/>
  <c r="Y129" i="1"/>
  <c r="S129" i="1"/>
  <c r="AA128" i="1"/>
  <c r="Z128" i="1"/>
  <c r="Y128" i="1"/>
  <c r="S128" i="1"/>
  <c r="AA127" i="1"/>
  <c r="Z127" i="1"/>
  <c r="Y127" i="1"/>
  <c r="S127" i="1"/>
  <c r="AA126" i="1"/>
  <c r="Z126" i="1"/>
  <c r="Y126" i="1"/>
  <c r="S126" i="1"/>
  <c r="AA125" i="1"/>
  <c r="Z125" i="1"/>
  <c r="Y125" i="1"/>
  <c r="S125" i="1"/>
  <c r="AA124" i="1"/>
  <c r="Z124" i="1"/>
  <c r="Y124" i="1"/>
  <c r="S124" i="1"/>
  <c r="AA123" i="1"/>
  <c r="Z123" i="1"/>
  <c r="Y123" i="1"/>
  <c r="S123" i="1"/>
  <c r="AA122" i="1"/>
  <c r="Z122" i="1"/>
  <c r="Y122" i="1"/>
  <c r="S122" i="1"/>
  <c r="AA121" i="1"/>
  <c r="Z121" i="1"/>
  <c r="Y121" i="1"/>
  <c r="S121" i="1"/>
  <c r="AA120" i="1"/>
  <c r="Z120" i="1"/>
  <c r="Y120" i="1"/>
  <c r="S120" i="1"/>
  <c r="AA119" i="1"/>
  <c r="Z119" i="1"/>
  <c r="Y119" i="1"/>
  <c r="S119" i="1"/>
  <c r="AA118" i="1"/>
  <c r="Z118" i="1"/>
  <c r="Y118" i="1"/>
  <c r="S118" i="1"/>
  <c r="AA117" i="1"/>
  <c r="Z117" i="1"/>
  <c r="Y117" i="1"/>
  <c r="S117" i="1"/>
  <c r="AA116" i="1"/>
  <c r="Z116" i="1"/>
  <c r="Y116" i="1"/>
  <c r="S116" i="1"/>
  <c r="AA115" i="1"/>
  <c r="Z115" i="1"/>
  <c r="Y115" i="1"/>
  <c r="S115" i="1"/>
  <c r="AA114" i="1"/>
  <c r="Z114" i="1"/>
  <c r="Y114" i="1"/>
  <c r="S114" i="1"/>
  <c r="AA113" i="1"/>
  <c r="Z113" i="1"/>
  <c r="Y113" i="1"/>
  <c r="S113" i="1"/>
  <c r="AA112" i="1"/>
  <c r="Z112" i="1"/>
  <c r="Y112" i="1"/>
  <c r="S112" i="1"/>
  <c r="AA111" i="1"/>
  <c r="Z111" i="1"/>
  <c r="Y111" i="1"/>
  <c r="S111" i="1"/>
  <c r="AA110" i="1"/>
  <c r="Z110" i="1"/>
  <c r="Y110" i="1"/>
  <c r="S110" i="1"/>
  <c r="AA109" i="1"/>
  <c r="Z109" i="1"/>
  <c r="Y109" i="1"/>
  <c r="S109" i="1"/>
  <c r="AA108" i="1"/>
  <c r="Z108" i="1"/>
  <c r="Y108" i="1"/>
  <c r="S108" i="1"/>
  <c r="AA107" i="1"/>
  <c r="Z107" i="1"/>
  <c r="Y107" i="1"/>
  <c r="S107" i="1"/>
  <c r="AA106" i="1"/>
  <c r="Z106" i="1"/>
  <c r="Y106" i="1"/>
  <c r="S106" i="1"/>
  <c r="AA105" i="1"/>
  <c r="Z105" i="1"/>
  <c r="Y105" i="1"/>
  <c r="S105" i="1"/>
  <c r="AA104" i="1"/>
  <c r="Z104" i="1"/>
  <c r="Y104" i="1"/>
  <c r="S104" i="1"/>
  <c r="AA103" i="1"/>
  <c r="Z103" i="1"/>
  <c r="Y103" i="1"/>
  <c r="S103" i="1"/>
  <c r="AA102" i="1"/>
  <c r="Z102" i="1"/>
  <c r="Y102" i="1"/>
  <c r="S102" i="1"/>
  <c r="AA101" i="1"/>
  <c r="Z101" i="1"/>
  <c r="Y101" i="1"/>
  <c r="X101" i="1"/>
  <c r="AA100" i="1"/>
  <c r="Z100" i="1"/>
  <c r="Y100" i="1"/>
  <c r="S100" i="1"/>
  <c r="AA99" i="1"/>
  <c r="Z99" i="1"/>
  <c r="Y99" i="1"/>
  <c r="S99" i="1"/>
  <c r="AA98" i="1"/>
  <c r="Z98" i="1"/>
  <c r="Y98" i="1"/>
  <c r="S98" i="1"/>
  <c r="AA97" i="1"/>
  <c r="Z97" i="1"/>
  <c r="Y97" i="1"/>
  <c r="S97" i="1"/>
  <c r="AA96" i="1"/>
  <c r="Z96" i="1"/>
  <c r="Y96" i="1"/>
  <c r="S96" i="1"/>
  <c r="AA95" i="1"/>
  <c r="Z95" i="1"/>
  <c r="Y95" i="1"/>
  <c r="S95" i="1"/>
  <c r="AA94" i="1"/>
  <c r="Z94" i="1"/>
  <c r="Y94" i="1"/>
  <c r="S94" i="1"/>
  <c r="AA93" i="1"/>
  <c r="Z93" i="1"/>
  <c r="Y93" i="1"/>
  <c r="S93" i="1"/>
  <c r="AA92" i="1"/>
  <c r="Z92" i="1"/>
  <c r="Y92" i="1"/>
  <c r="S92" i="1"/>
  <c r="AA91" i="1"/>
  <c r="Z91" i="1"/>
  <c r="Y91" i="1"/>
  <c r="S91" i="1"/>
  <c r="AA90" i="1"/>
  <c r="Z90" i="1"/>
  <c r="Y90" i="1"/>
  <c r="S90" i="1"/>
  <c r="AA89" i="1"/>
  <c r="Z89" i="1"/>
  <c r="Y89" i="1"/>
  <c r="S89" i="1"/>
  <c r="AA88" i="1"/>
  <c r="Z88" i="1"/>
  <c r="Y88" i="1"/>
  <c r="S88" i="1"/>
  <c r="AA87" i="1"/>
  <c r="Z87" i="1"/>
  <c r="Y87" i="1"/>
  <c r="S87" i="1"/>
  <c r="AA86" i="1"/>
  <c r="Z86" i="1"/>
  <c r="Y86" i="1"/>
  <c r="S86" i="1"/>
  <c r="AA85" i="1"/>
  <c r="Z85" i="1"/>
  <c r="Y85" i="1"/>
  <c r="S85" i="1"/>
  <c r="AA84" i="1"/>
  <c r="Z84" i="1"/>
  <c r="Y84" i="1"/>
  <c r="S84" i="1"/>
  <c r="AA83" i="1"/>
  <c r="Z83" i="1"/>
  <c r="Y83" i="1"/>
  <c r="S83" i="1"/>
  <c r="AA82" i="1"/>
  <c r="Z82" i="1"/>
  <c r="Y82" i="1"/>
  <c r="S82" i="1"/>
  <c r="AA81" i="1"/>
  <c r="Z81" i="1"/>
  <c r="Y81" i="1"/>
  <c r="S81" i="1"/>
  <c r="AA80" i="1"/>
  <c r="Z80" i="1"/>
  <c r="Y80" i="1"/>
  <c r="S80" i="1"/>
  <c r="AA79" i="1"/>
  <c r="Z79" i="1"/>
  <c r="Y79" i="1"/>
  <c r="S79" i="1"/>
  <c r="AA78" i="1"/>
  <c r="Z78" i="1"/>
  <c r="Y78" i="1"/>
  <c r="S78" i="1"/>
  <c r="AA77" i="1"/>
  <c r="Z77" i="1"/>
  <c r="Y77" i="1"/>
  <c r="S77" i="1"/>
  <c r="AA76" i="1"/>
  <c r="Z76" i="1"/>
  <c r="Y76" i="1"/>
  <c r="S76" i="1"/>
  <c r="AA75" i="1"/>
  <c r="Z75" i="1"/>
  <c r="Y75" i="1"/>
  <c r="S75" i="1"/>
  <c r="AA59" i="1"/>
  <c r="Z59" i="1"/>
  <c r="Y59" i="1"/>
  <c r="S59" i="1"/>
  <c r="AA58" i="1"/>
  <c r="Z58" i="1"/>
  <c r="Y58" i="1"/>
  <c r="S58" i="1"/>
  <c r="AA57" i="1"/>
  <c r="Z57" i="1"/>
  <c r="Y57" i="1"/>
  <c r="S57" i="1"/>
  <c r="AA56" i="1"/>
  <c r="Z56" i="1"/>
  <c r="Y56" i="1"/>
  <c r="S56" i="1"/>
  <c r="AA55" i="1"/>
  <c r="Z55" i="1"/>
  <c r="Y55" i="1"/>
  <c r="S55" i="1"/>
  <c r="AA54" i="1"/>
  <c r="Z54" i="1"/>
  <c r="Y54" i="1"/>
  <c r="S54" i="1"/>
  <c r="AA53" i="1"/>
  <c r="Z53" i="1"/>
  <c r="Y53" i="1"/>
  <c r="S53" i="1"/>
  <c r="AA52" i="1"/>
  <c r="Z52" i="1"/>
  <c r="Y52" i="1"/>
  <c r="S52" i="1"/>
  <c r="AA51" i="1"/>
  <c r="Z51" i="1"/>
  <c r="Y51" i="1"/>
  <c r="S51" i="1"/>
  <c r="AA50" i="1"/>
  <c r="Z50" i="1"/>
  <c r="Y50" i="1"/>
  <c r="S50" i="1"/>
  <c r="AA36" i="1"/>
  <c r="Z36" i="1"/>
  <c r="Y36" i="1"/>
  <c r="S36" i="1"/>
  <c r="AA35" i="1"/>
  <c r="Z35" i="1"/>
  <c r="Y35" i="1"/>
  <c r="S35" i="1"/>
  <c r="AA34" i="1"/>
  <c r="Z34" i="1"/>
  <c r="Y34" i="1"/>
  <c r="S34" i="1"/>
  <c r="AA33" i="1"/>
  <c r="Z33" i="1"/>
  <c r="Y33" i="1"/>
  <c r="S33" i="1"/>
  <c r="AA32" i="1"/>
  <c r="Z32" i="1"/>
  <c r="Y32" i="1"/>
  <c r="S32" i="1"/>
  <c r="AA31" i="1"/>
  <c r="Z31" i="1"/>
  <c r="Y31" i="1"/>
  <c r="S31" i="1"/>
  <c r="AA30" i="1"/>
  <c r="Z30" i="1"/>
  <c r="Y30" i="1"/>
  <c r="S30" i="1"/>
  <c r="AA29" i="1"/>
  <c r="Z29" i="1"/>
  <c r="Y29" i="1"/>
  <c r="S29" i="1"/>
  <c r="AA28" i="1"/>
  <c r="Z28" i="1"/>
  <c r="Y28" i="1"/>
  <c r="S28" i="1"/>
  <c r="AA27" i="1"/>
  <c r="Z27" i="1"/>
  <c r="Y27" i="1"/>
  <c r="S27" i="1"/>
  <c r="AA26" i="1"/>
  <c r="Z26" i="1"/>
  <c r="Y26" i="1"/>
  <c r="S26" i="1"/>
  <c r="AA25" i="1"/>
  <c r="Z25" i="1"/>
  <c r="Y25" i="1"/>
  <c r="S25" i="1"/>
  <c r="AA24" i="1"/>
  <c r="Z24" i="1"/>
  <c r="Y24" i="1"/>
  <c r="S24" i="1"/>
  <c r="AA23" i="1"/>
  <c r="Z23" i="1"/>
  <c r="Y23" i="1"/>
  <c r="S23" i="1"/>
  <c r="AA22" i="1"/>
  <c r="Z22" i="1"/>
  <c r="Y22" i="1"/>
  <c r="S22" i="1"/>
  <c r="AA21" i="1"/>
  <c r="Z21" i="1"/>
  <c r="Y21" i="1"/>
  <c r="S21" i="1"/>
  <c r="AA20" i="1"/>
  <c r="Z20" i="1"/>
  <c r="Y20" i="1"/>
  <c r="S20" i="1"/>
  <c r="AA19" i="1"/>
  <c r="Z19" i="1"/>
  <c r="Y19" i="1"/>
  <c r="S19" i="1"/>
  <c r="AA18" i="1"/>
  <c r="Z18" i="1"/>
  <c r="Y18" i="1"/>
  <c r="S18" i="1"/>
  <c r="AA17" i="1"/>
  <c r="Z17" i="1"/>
  <c r="Y17" i="1"/>
  <c r="S17" i="1"/>
  <c r="AA16" i="1"/>
  <c r="Z16" i="1"/>
  <c r="Y16" i="1"/>
  <c r="S16" i="1"/>
  <c r="AA15" i="1"/>
  <c r="Z15" i="1"/>
  <c r="Y15" i="1"/>
  <c r="S15" i="1"/>
  <c r="AA14" i="1"/>
  <c r="Z14" i="1"/>
  <c r="Y14" i="1"/>
  <c r="S14" i="1"/>
  <c r="AA13" i="1"/>
  <c r="Z13" i="1"/>
  <c r="Y13" i="1"/>
  <c r="AA12" i="1"/>
  <c r="Z12" i="1"/>
  <c r="Y12" i="1"/>
  <c r="AA11" i="1"/>
  <c r="Z11" i="1"/>
  <c r="Y11" i="1"/>
  <c r="AA10" i="1"/>
  <c r="Z10" i="1"/>
  <c r="Y10" i="1"/>
  <c r="S10" i="1"/>
  <c r="AA9" i="1"/>
  <c r="Z9" i="1"/>
  <c r="Y9" i="1"/>
  <c r="S9" i="1"/>
  <c r="AA8" i="1"/>
  <c r="Z8" i="1"/>
  <c r="Y8" i="1"/>
  <c r="S8" i="1"/>
  <c r="AA7" i="1"/>
  <c r="Z7" i="1"/>
  <c r="Y7" i="1"/>
  <c r="S7" i="1"/>
  <c r="AA6" i="1"/>
  <c r="Z6" i="1"/>
  <c r="Y6" i="1"/>
  <c r="S6" i="1"/>
  <c r="AA5" i="1"/>
  <c r="Z5" i="1"/>
  <c r="Y5" i="1"/>
  <c r="S5" i="1"/>
  <c r="AA4" i="1"/>
  <c r="Z4" i="1"/>
  <c r="Y4" i="1"/>
  <c r="S4" i="1"/>
  <c r="AA3" i="1"/>
  <c r="Z3" i="1"/>
  <c r="Y3" i="1"/>
  <c r="S3" i="1"/>
  <c r="AA2" i="1"/>
  <c r="Z2" i="1"/>
  <c r="Y2" i="1"/>
  <c r="X2" i="1"/>
  <c r="G682" i="1" l="1"/>
  <c r="G678" i="1"/>
  <c r="G674" i="1"/>
  <c r="G670" i="1"/>
  <c r="G666" i="1"/>
  <c r="G681" i="1"/>
  <c r="G669" i="1"/>
  <c r="G680" i="1"/>
  <c r="G676" i="1"/>
  <c r="G672" i="1"/>
  <c r="G668" i="1"/>
  <c r="G677" i="1"/>
  <c r="AA677" i="1" s="1"/>
  <c r="AB677" i="1" s="1"/>
  <c r="A677" i="1" s="1"/>
  <c r="G683" i="1"/>
  <c r="G679" i="1"/>
  <c r="G675" i="1"/>
  <c r="F675" i="1" s="1"/>
  <c r="G671" i="1"/>
  <c r="G667" i="1"/>
  <c r="G673" i="1"/>
  <c r="F397" i="1"/>
  <c r="F287" i="1"/>
  <c r="F545" i="1"/>
  <c r="E545" i="1" s="1"/>
  <c r="F462" i="1"/>
  <c r="E462" i="1" s="1"/>
  <c r="X901" i="1"/>
  <c r="AA922" i="1"/>
  <c r="Y873" i="1"/>
  <c r="AB873" i="1" s="1"/>
  <c r="V587" i="1"/>
  <c r="V590" i="1"/>
  <c r="Y571" i="1"/>
  <c r="AB571" i="1" s="1"/>
  <c r="Y575" i="1"/>
  <c r="AB575" i="1" s="1"/>
  <c r="A575" i="1" s="1"/>
  <c r="Y579" i="1"/>
  <c r="AB579" i="1" s="1"/>
  <c r="Y899" i="1"/>
  <c r="AB899" i="1" s="1"/>
  <c r="W929" i="1" s="1"/>
  <c r="Z824" i="1"/>
  <c r="D824" i="1" s="1"/>
  <c r="V595" i="1"/>
  <c r="V597" i="1"/>
  <c r="V599" i="1"/>
  <c r="Z620" i="1"/>
  <c r="D620" i="1" s="1"/>
  <c r="Z622" i="1"/>
  <c r="D622" i="1" s="1"/>
  <c r="AB616" i="1"/>
  <c r="A616" i="1" s="1"/>
  <c r="AA594" i="1"/>
  <c r="Z782" i="1"/>
  <c r="D782" i="1" s="1"/>
  <c r="V795" i="1"/>
  <c r="X795" i="1" s="1"/>
  <c r="AB795" i="1" s="1"/>
  <c r="A795" i="1" s="1"/>
  <c r="V582" i="1"/>
  <c r="Y584" i="1"/>
  <c r="AB584" i="1" s="1"/>
  <c r="A584" i="1" s="1"/>
  <c r="V588" i="1"/>
  <c r="V591" i="1"/>
  <c r="Z572" i="1"/>
  <c r="D572" i="1" s="1"/>
  <c r="Y574" i="1"/>
  <c r="AB574" i="1" s="1"/>
  <c r="Y576" i="1"/>
  <c r="AB576" i="1" s="1"/>
  <c r="Y578" i="1"/>
  <c r="AB578" i="1" s="1"/>
  <c r="Z644" i="1"/>
  <c r="Z897" i="1"/>
  <c r="Z922" i="1" s="1"/>
  <c r="AA894" i="1"/>
  <c r="AA901" i="1" s="1"/>
  <c r="Y863" i="1"/>
  <c r="AB863" i="1" s="1"/>
  <c r="Z624" i="1"/>
  <c r="D624" i="1" s="1"/>
  <c r="Z631" i="1"/>
  <c r="D631" i="1" s="1"/>
  <c r="Z548" i="1"/>
  <c r="D548" i="1" s="1"/>
  <c r="V567" i="1"/>
  <c r="U819" i="1" s="1"/>
  <c r="V819" i="1" s="1"/>
  <c r="Y596" i="1"/>
  <c r="AB596" i="1" s="1"/>
  <c r="V598" i="1"/>
  <c r="V600" i="1"/>
  <c r="V604" i="1"/>
  <c r="V606" i="1"/>
  <c r="Z621" i="1"/>
  <c r="D621" i="1" s="1"/>
  <c r="V623" i="1"/>
  <c r="Z618" i="1"/>
  <c r="D618" i="1" s="1"/>
  <c r="Y891" i="1"/>
  <c r="S839" i="1"/>
  <c r="W844" i="1"/>
  <c r="Z856" i="1"/>
  <c r="A480" i="1"/>
  <c r="F797" i="1"/>
  <c r="F788" i="1"/>
  <c r="F796" i="1"/>
  <c r="F787" i="1"/>
  <c r="F793" i="1"/>
  <c r="F799" i="1"/>
  <c r="F794" i="1"/>
  <c r="F792" i="1"/>
  <c r="F791" i="1"/>
  <c r="F790" i="1"/>
  <c r="F789" i="1"/>
  <c r="S831" i="1"/>
  <c r="S840" i="1"/>
  <c r="S838" i="1"/>
  <c r="A866" i="1"/>
  <c r="AB893" i="1"/>
  <c r="X550" i="1"/>
  <c r="A185" i="1"/>
  <c r="A2" i="1"/>
  <c r="A545" i="1"/>
  <c r="A546" i="1"/>
  <c r="A101" i="1"/>
  <c r="A397" i="1"/>
  <c r="A288" i="1"/>
  <c r="A287" i="1"/>
  <c r="A186" i="1"/>
  <c r="A462" i="1"/>
  <c r="A398" i="1"/>
  <c r="C58" i="7"/>
  <c r="M58" i="7" s="1"/>
  <c r="O58" i="7" s="1"/>
  <c r="C69" i="7"/>
  <c r="M69" i="7" s="1"/>
  <c r="O69" i="7" s="1"/>
  <c r="C66" i="7"/>
  <c r="M66" i="7" s="1"/>
  <c r="O66" i="7" s="1"/>
  <c r="C74" i="7"/>
  <c r="M74" i="7" s="1"/>
  <c r="O74" i="7" s="1"/>
  <c r="C63" i="7"/>
  <c r="M63" i="7" s="1"/>
  <c r="O63" i="7" s="1"/>
  <c r="C71" i="7"/>
  <c r="M71" i="7" s="1"/>
  <c r="O71" i="7" s="1"/>
  <c r="C60" i="7"/>
  <c r="M60" i="7" s="1"/>
  <c r="O60" i="7" s="1"/>
  <c r="C68" i="7"/>
  <c r="M68" i="7" s="1"/>
  <c r="O68" i="7" s="1"/>
  <c r="C65" i="7"/>
  <c r="M65" i="7" s="1"/>
  <c r="O65" i="7" s="1"/>
  <c r="C73" i="7"/>
  <c r="M73" i="7" s="1"/>
  <c r="O73" i="7" s="1"/>
  <c r="C62" i="7"/>
  <c r="M62" i="7" s="1"/>
  <c r="O62" i="7" s="1"/>
  <c r="C70" i="7"/>
  <c r="M70" i="7" s="1"/>
  <c r="O70" i="7" s="1"/>
  <c r="C61" i="7"/>
  <c r="M61" i="7" s="1"/>
  <c r="O61" i="7" s="1"/>
  <c r="C67" i="7"/>
  <c r="M67" i="7" s="1"/>
  <c r="O67" i="7" s="1"/>
  <c r="C64" i="7"/>
  <c r="M64" i="7" s="1"/>
  <c r="O64" i="7" s="1"/>
  <c r="C72" i="7"/>
  <c r="M72" i="7" s="1"/>
  <c r="O72" i="7" s="1"/>
  <c r="Z891" i="1"/>
  <c r="Z892" i="1"/>
  <c r="C3" i="7"/>
  <c r="M3" i="7" s="1"/>
  <c r="O3" i="7" s="1"/>
  <c r="AA645" i="1"/>
  <c r="AB864" i="1"/>
  <c r="AB862" i="1"/>
  <c r="AB861" i="1"/>
  <c r="AB872" i="1"/>
  <c r="AB870" i="1"/>
  <c r="AB868" i="1"/>
  <c r="AB869" i="1"/>
  <c r="V562" i="1"/>
  <c r="U818" i="1" s="1"/>
  <c r="V818" i="1" s="1"/>
  <c r="V5" i="1"/>
  <c r="V7" i="1"/>
  <c r="V9" i="1"/>
  <c r="V11" i="1"/>
  <c r="V13" i="1"/>
  <c r="V15" i="1"/>
  <c r="V17" i="1"/>
  <c r="V19" i="1"/>
  <c r="V21" i="1"/>
  <c r="V23" i="1"/>
  <c r="V25" i="1"/>
  <c r="V27" i="1"/>
  <c r="V29" i="1"/>
  <c r="V31" i="1"/>
  <c r="V33" i="1"/>
  <c r="V35" i="1"/>
  <c r="V50" i="1"/>
  <c r="V52" i="1"/>
  <c r="V54" i="1"/>
  <c r="V56" i="1"/>
  <c r="V58" i="1"/>
  <c r="V75" i="1"/>
  <c r="V77" i="1"/>
  <c r="V79" i="1"/>
  <c r="V81" i="1"/>
  <c r="V83" i="1"/>
  <c r="V85" i="1"/>
  <c r="V87" i="1"/>
  <c r="V89" i="1"/>
  <c r="V91" i="1"/>
  <c r="V93" i="1"/>
  <c r="V95" i="1"/>
  <c r="V97" i="1"/>
  <c r="V99" i="1"/>
  <c r="V196" i="1"/>
  <c r="V198" i="1"/>
  <c r="V200" i="1"/>
  <c r="V202" i="1"/>
  <c r="V204" i="1"/>
  <c r="V210" i="1"/>
  <c r="V218" i="1"/>
  <c r="V226" i="1"/>
  <c r="V234" i="1"/>
  <c r="V242" i="1"/>
  <c r="V245" i="1"/>
  <c r="V247" i="1"/>
  <c r="V249" i="1"/>
  <c r="V257" i="1"/>
  <c r="V290" i="1"/>
  <c r="V292" i="1"/>
  <c r="V294" i="1"/>
  <c r="V296" i="1"/>
  <c r="V298" i="1"/>
  <c r="V300" i="1"/>
  <c r="V302" i="1"/>
  <c r="V304" i="1"/>
  <c r="V306" i="1"/>
  <c r="V308" i="1"/>
  <c r="V310" i="1"/>
  <c r="V312" i="1"/>
  <c r="V314" i="1"/>
  <c r="V316" i="1"/>
  <c r="V318" i="1"/>
  <c r="V320" i="1"/>
  <c r="V322" i="1"/>
  <c r="V324" i="1"/>
  <c r="V326" i="1"/>
  <c r="V328" i="1"/>
  <c r="V330" i="1"/>
  <c r="V332" i="1"/>
  <c r="V334" i="1"/>
  <c r="V336" i="1"/>
  <c r="V338" i="1"/>
  <c r="V340" i="1"/>
  <c r="V342" i="1"/>
  <c r="V344" i="1"/>
  <c r="V346" i="1"/>
  <c r="V348" i="1"/>
  <c r="V350" i="1"/>
  <c r="V352" i="1"/>
  <c r="V354" i="1"/>
  <c r="V356" i="1"/>
  <c r="V358" i="1"/>
  <c r="V360" i="1"/>
  <c r="V362" i="1"/>
  <c r="V364" i="1"/>
  <c r="V400" i="1"/>
  <c r="V402" i="1"/>
  <c r="V404" i="1"/>
  <c r="V406" i="1"/>
  <c r="V408" i="1"/>
  <c r="V410" i="1"/>
  <c r="V412" i="1"/>
  <c r="V414" i="1"/>
  <c r="V416" i="1"/>
  <c r="V418" i="1"/>
  <c r="V420" i="1"/>
  <c r="V422" i="1"/>
  <c r="V424" i="1"/>
  <c r="V426" i="1"/>
  <c r="V428" i="1"/>
  <c r="V430" i="1"/>
  <c r="V432" i="1"/>
  <c r="V434" i="1"/>
  <c r="V436" i="1"/>
  <c r="V451" i="1"/>
  <c r="V453" i="1"/>
  <c r="V455" i="1"/>
  <c r="V457" i="1"/>
  <c r="V459" i="1"/>
  <c r="V461" i="1"/>
  <c r="V492" i="1"/>
  <c r="V494" i="1"/>
  <c r="V500" i="1"/>
  <c r="V502" i="1"/>
  <c r="V504" i="1"/>
  <c r="V508" i="1"/>
  <c r="V514" i="1"/>
  <c r="V516" i="1"/>
  <c r="V518" i="1"/>
  <c r="V532" i="1"/>
  <c r="V534" i="1"/>
  <c r="V540" i="1"/>
  <c r="V542" i="1"/>
  <c r="V544" i="1"/>
  <c r="V592" i="1"/>
  <c r="Z605" i="1"/>
  <c r="V646" i="1"/>
  <c r="V807" i="1"/>
  <c r="V811" i="1"/>
  <c r="V656" i="1"/>
  <c r="V107" i="1"/>
  <c r="V109" i="1"/>
  <c r="V111" i="1"/>
  <c r="V127" i="1"/>
  <c r="V152" i="1"/>
  <c r="V154" i="1"/>
  <c r="V170" i="1"/>
  <c r="V176" i="1"/>
  <c r="V182" i="1"/>
  <c r="V184" i="1"/>
  <c r="V191" i="1"/>
  <c r="V195" i="1"/>
  <c r="Z594" i="1"/>
  <c r="V810" i="1"/>
  <c r="V104" i="1"/>
  <c r="V108" i="1"/>
  <c r="V112" i="1"/>
  <c r="V114" i="1"/>
  <c r="V118" i="1"/>
  <c r="V122" i="1"/>
  <c r="V126" i="1"/>
  <c r="V130" i="1"/>
  <c r="V134" i="1"/>
  <c r="V149" i="1"/>
  <c r="V153" i="1"/>
  <c r="V157" i="1"/>
  <c r="V161" i="1"/>
  <c r="V165" i="1"/>
  <c r="V169" i="1"/>
  <c r="V173" i="1"/>
  <c r="V177" i="1"/>
  <c r="V179" i="1"/>
  <c r="V188" i="1"/>
  <c r="V190" i="1"/>
  <c r="V192" i="1"/>
  <c r="V194" i="1"/>
  <c r="Y609" i="1"/>
  <c r="V610" i="1"/>
  <c r="V808" i="1"/>
  <c r="X808" i="1" s="1"/>
  <c r="V103" i="1"/>
  <c r="V105" i="1"/>
  <c r="V113" i="1"/>
  <c r="V115" i="1"/>
  <c r="V117" i="1"/>
  <c r="V119" i="1"/>
  <c r="V121" i="1"/>
  <c r="V123" i="1"/>
  <c r="V125" i="1"/>
  <c r="V129" i="1"/>
  <c r="V131" i="1"/>
  <c r="V133" i="1"/>
  <c r="V135" i="1"/>
  <c r="V150" i="1"/>
  <c r="V156" i="1"/>
  <c r="V158" i="1"/>
  <c r="V160" i="1"/>
  <c r="V162" i="1"/>
  <c r="V164" i="1"/>
  <c r="V166" i="1"/>
  <c r="V168" i="1"/>
  <c r="V172" i="1"/>
  <c r="V174" i="1"/>
  <c r="V178" i="1"/>
  <c r="V180" i="1"/>
  <c r="V187" i="1"/>
  <c r="V189" i="1"/>
  <c r="V193" i="1"/>
  <c r="V586" i="1"/>
  <c r="V3" i="1"/>
  <c r="V102" i="1"/>
  <c r="V106" i="1"/>
  <c r="V110" i="1"/>
  <c r="V116" i="1"/>
  <c r="V120" i="1"/>
  <c r="V124" i="1"/>
  <c r="V128" i="1"/>
  <c r="V132" i="1"/>
  <c r="V151" i="1"/>
  <c r="V155" i="1"/>
  <c r="V159" i="1"/>
  <c r="V163" i="1"/>
  <c r="V167" i="1"/>
  <c r="V171" i="1"/>
  <c r="V175" i="1"/>
  <c r="V181" i="1"/>
  <c r="V183" i="1"/>
  <c r="V4" i="1"/>
  <c r="V6" i="1"/>
  <c r="V10" i="1"/>
  <c r="V12" i="1"/>
  <c r="V14" i="1"/>
  <c r="V16" i="1"/>
  <c r="V18" i="1"/>
  <c r="V20" i="1"/>
  <c r="V22" i="1"/>
  <c r="V24" i="1"/>
  <c r="V26" i="1"/>
  <c r="V28" i="1"/>
  <c r="V30" i="1"/>
  <c r="V32" i="1"/>
  <c r="V34" i="1"/>
  <c r="V36" i="1"/>
  <c r="V51" i="1"/>
  <c r="V53" i="1"/>
  <c r="V55" i="1"/>
  <c r="V57" i="1"/>
  <c r="V59" i="1"/>
  <c r="V76" i="1"/>
  <c r="V78" i="1"/>
  <c r="V80" i="1"/>
  <c r="V82" i="1"/>
  <c r="V84" i="1"/>
  <c r="V86" i="1"/>
  <c r="V88" i="1"/>
  <c r="V90" i="1"/>
  <c r="V92" i="1"/>
  <c r="V94" i="1"/>
  <c r="V96" i="1"/>
  <c r="V98" i="1"/>
  <c r="V100" i="1"/>
  <c r="V197" i="1"/>
  <c r="V199" i="1"/>
  <c r="V201" i="1"/>
  <c r="V203" i="1"/>
  <c r="V205" i="1"/>
  <c r="V207" i="1"/>
  <c r="V209" i="1"/>
  <c r="V211" i="1"/>
  <c r="V213" i="1"/>
  <c r="V215" i="1"/>
  <c r="V217" i="1"/>
  <c r="V219" i="1"/>
  <c r="V221" i="1"/>
  <c r="V223" i="1"/>
  <c r="V225" i="1"/>
  <c r="V227" i="1"/>
  <c r="V229" i="1"/>
  <c r="V231" i="1"/>
  <c r="V233" i="1"/>
  <c r="V235" i="1"/>
  <c r="V237" i="1"/>
  <c r="V239" i="1"/>
  <c r="V241" i="1"/>
  <c r="V243" i="1"/>
  <c r="V246" i="1"/>
  <c r="V248" i="1"/>
  <c r="V250" i="1"/>
  <c r="V252" i="1"/>
  <c r="V254" i="1"/>
  <c r="V256" i="1"/>
  <c r="V258" i="1"/>
  <c r="V289" i="1"/>
  <c r="V291" i="1"/>
  <c r="V293" i="1"/>
  <c r="V295" i="1"/>
  <c r="V297" i="1"/>
  <c r="V299" i="1"/>
  <c r="V301" i="1"/>
  <c r="V303" i="1"/>
  <c r="V305" i="1"/>
  <c r="V307" i="1"/>
  <c r="V309" i="1"/>
  <c r="V311" i="1"/>
  <c r="V313" i="1"/>
  <c r="V315" i="1"/>
  <c r="V317" i="1"/>
  <c r="V319" i="1"/>
  <c r="V321" i="1"/>
  <c r="V323" i="1"/>
  <c r="V325" i="1"/>
  <c r="V327" i="1"/>
  <c r="V329" i="1"/>
  <c r="V331" i="1"/>
  <c r="V333" i="1"/>
  <c r="V335" i="1"/>
  <c r="V337" i="1"/>
  <c r="V339" i="1"/>
  <c r="V341" i="1"/>
  <c r="V343" i="1"/>
  <c r="V345" i="1"/>
  <c r="V347" i="1"/>
  <c r="V349" i="1"/>
  <c r="V351" i="1"/>
  <c r="V353" i="1"/>
  <c r="V355" i="1"/>
  <c r="V357" i="1"/>
  <c r="V359" i="1"/>
  <c r="V361" i="1"/>
  <c r="V363" i="1"/>
  <c r="V365" i="1"/>
  <c r="V399" i="1"/>
  <c r="V401" i="1"/>
  <c r="V403" i="1"/>
  <c r="V405" i="1"/>
  <c r="V407" i="1"/>
  <c r="V409" i="1"/>
  <c r="V411" i="1"/>
  <c r="V413" i="1"/>
  <c r="V415" i="1"/>
  <c r="V417" i="1"/>
  <c r="V419" i="1"/>
  <c r="V421" i="1"/>
  <c r="V423" i="1"/>
  <c r="V425" i="1"/>
  <c r="V427" i="1"/>
  <c r="V429" i="1"/>
  <c r="V431" i="1"/>
  <c r="V433" i="1"/>
  <c r="V435" i="1"/>
  <c r="V450" i="1"/>
  <c r="V452" i="1"/>
  <c r="V454" i="1"/>
  <c r="V456" i="1"/>
  <c r="V458" i="1"/>
  <c r="V460" i="1"/>
  <c r="V481" i="1"/>
  <c r="V483" i="1"/>
  <c r="V485" i="1"/>
  <c r="V487" i="1"/>
  <c r="V489" i="1"/>
  <c r="V491" i="1"/>
  <c r="V493" i="1"/>
  <c r="V495" i="1"/>
  <c r="V497" i="1"/>
  <c r="V499" i="1"/>
  <c r="V501" i="1"/>
  <c r="V503" i="1"/>
  <c r="V505" i="1"/>
  <c r="V507" i="1"/>
  <c r="V509" i="1"/>
  <c r="V511" i="1"/>
  <c r="V513" i="1"/>
  <c r="V515" i="1"/>
  <c r="V517" i="1"/>
  <c r="V533" i="1"/>
  <c r="V535" i="1"/>
  <c r="V537" i="1"/>
  <c r="V539" i="1"/>
  <c r="V541" i="1"/>
  <c r="V543" i="1"/>
  <c r="V585" i="1"/>
  <c r="Y611" i="1"/>
  <c r="V809" i="1"/>
  <c r="AB858" i="1"/>
  <c r="V8" i="1"/>
  <c r="V482" i="1"/>
  <c r="V484" i="1"/>
  <c r="V486" i="1"/>
  <c r="V488" i="1"/>
  <c r="V490" i="1"/>
  <c r="V496" i="1"/>
  <c r="V498" i="1"/>
  <c r="V506" i="1"/>
  <c r="V510" i="1"/>
  <c r="V512" i="1"/>
  <c r="V536" i="1"/>
  <c r="V538" i="1"/>
  <c r="C21" i="7"/>
  <c r="V206" i="1"/>
  <c r="C27" i="7"/>
  <c r="V212" i="1"/>
  <c r="C31" i="7"/>
  <c r="V216" i="1"/>
  <c r="C35" i="7"/>
  <c r="V220" i="1"/>
  <c r="C39" i="7"/>
  <c r="V224" i="1"/>
  <c r="C45" i="7"/>
  <c r="V230" i="1"/>
  <c r="C51" i="7"/>
  <c r="V236" i="1"/>
  <c r="C55" i="7"/>
  <c r="V240" i="1"/>
  <c r="C100" i="7"/>
  <c r="M100" i="7" s="1"/>
  <c r="O100" i="7" s="1"/>
  <c r="V251" i="1"/>
  <c r="V253" i="1"/>
  <c r="C23" i="7"/>
  <c r="V208" i="1"/>
  <c r="C29" i="7"/>
  <c r="V214" i="1"/>
  <c r="C37" i="7"/>
  <c r="M37" i="7" s="1"/>
  <c r="O37" i="7" s="1"/>
  <c r="V222" i="1"/>
  <c r="C43" i="7"/>
  <c r="V228" i="1"/>
  <c r="C47" i="7"/>
  <c r="V232" i="1"/>
  <c r="C53" i="7"/>
  <c r="V238" i="1"/>
  <c r="V255" i="1"/>
  <c r="V259" i="1"/>
  <c r="Z894" i="1"/>
  <c r="Z857" i="1"/>
  <c r="AB626" i="1"/>
  <c r="A626" i="1" s="1"/>
  <c r="AB627" i="1"/>
  <c r="A627" i="1" s="1"/>
  <c r="AB634" i="1"/>
  <c r="F951" i="1"/>
  <c r="AB833" i="1"/>
  <c r="C33" i="7"/>
  <c r="C98" i="7"/>
  <c r="M98" i="7" s="1"/>
  <c r="O98" i="7" s="1"/>
  <c r="C25" i="7"/>
  <c r="C57" i="7"/>
  <c r="C49" i="7"/>
  <c r="C41" i="7"/>
  <c r="AB827" i="1"/>
  <c r="AB636" i="1"/>
  <c r="AB637" i="1"/>
  <c r="A637" i="1" s="1"/>
  <c r="AB783" i="1"/>
  <c r="AB823" i="1"/>
  <c r="AB635" i="1"/>
  <c r="A635" i="1" s="1"/>
  <c r="AB860" i="1"/>
  <c r="AB865" i="1"/>
  <c r="C5" i="7"/>
  <c r="M5" i="7" s="1"/>
  <c r="O5" i="7" s="1"/>
  <c r="C7" i="7"/>
  <c r="M7" i="7" s="1"/>
  <c r="O7" i="7" s="1"/>
  <c r="C9" i="7"/>
  <c r="M9" i="7" s="1"/>
  <c r="O9" i="7" s="1"/>
  <c r="V552" i="1"/>
  <c r="Y552" i="1"/>
  <c r="AB101" i="1"/>
  <c r="C12" i="7"/>
  <c r="M12" i="7" s="1"/>
  <c r="O12" i="7" s="1"/>
  <c r="C14" i="7"/>
  <c r="M14" i="7" s="1"/>
  <c r="O14" i="7" s="1"/>
  <c r="C16" i="7"/>
  <c r="M16" i="7" s="1"/>
  <c r="O16" i="7" s="1"/>
  <c r="C18" i="7"/>
  <c r="M18" i="7" s="1"/>
  <c r="O18" i="7" s="1"/>
  <c r="C20" i="7"/>
  <c r="M20" i="7" s="1"/>
  <c r="O20" i="7" s="1"/>
  <c r="C22" i="7"/>
  <c r="M22" i="7" s="1"/>
  <c r="O22" i="7" s="1"/>
  <c r="C24" i="7"/>
  <c r="M24" i="7" s="1"/>
  <c r="O24" i="7" s="1"/>
  <c r="C26" i="7"/>
  <c r="M26" i="7" s="1"/>
  <c r="O26" i="7" s="1"/>
  <c r="C28" i="7"/>
  <c r="M28" i="7" s="1"/>
  <c r="O28" i="7" s="1"/>
  <c r="C30" i="7"/>
  <c r="M30" i="7" s="1"/>
  <c r="O30" i="7" s="1"/>
  <c r="C32" i="7"/>
  <c r="M32" i="7" s="1"/>
  <c r="O32" i="7" s="1"/>
  <c r="C34" i="7"/>
  <c r="M34" i="7" s="1"/>
  <c r="O34" i="7" s="1"/>
  <c r="C36" i="7"/>
  <c r="M36" i="7" s="1"/>
  <c r="O36" i="7" s="1"/>
  <c r="C38" i="7"/>
  <c r="M38" i="7" s="1"/>
  <c r="O38" i="7" s="1"/>
  <c r="C40" i="7"/>
  <c r="M40" i="7" s="1"/>
  <c r="O40" i="7" s="1"/>
  <c r="C42" i="7"/>
  <c r="M42" i="7" s="1"/>
  <c r="O42" i="7" s="1"/>
  <c r="C44" i="7"/>
  <c r="M44" i="7" s="1"/>
  <c r="O44" i="7" s="1"/>
  <c r="C46" i="7"/>
  <c r="M46" i="7" s="1"/>
  <c r="O46" i="7" s="1"/>
  <c r="C48" i="7"/>
  <c r="M48" i="7" s="1"/>
  <c r="O48" i="7" s="1"/>
  <c r="C50" i="7"/>
  <c r="M50" i="7" s="1"/>
  <c r="O50" i="7" s="1"/>
  <c r="C52" i="7"/>
  <c r="M52" i="7" s="1"/>
  <c r="O52" i="7" s="1"/>
  <c r="C54" i="7"/>
  <c r="M54" i="7" s="1"/>
  <c r="O54" i="7" s="1"/>
  <c r="C56" i="7"/>
  <c r="M56" i="7" s="1"/>
  <c r="O56" i="7" s="1"/>
  <c r="C99" i="7"/>
  <c r="M99" i="7" s="1"/>
  <c r="O99" i="7" s="1"/>
  <c r="C101" i="7"/>
  <c r="M101" i="7" s="1"/>
  <c r="O101" i="7" s="1"/>
  <c r="AB665" i="1"/>
  <c r="AB781" i="1"/>
  <c r="AB898" i="1"/>
  <c r="A898" i="1" s="1"/>
  <c r="C2" i="7"/>
  <c r="C4" i="7"/>
  <c r="M4" i="7" s="1"/>
  <c r="O4" i="7" s="1"/>
  <c r="C6" i="7"/>
  <c r="M6" i="7" s="1"/>
  <c r="O6" i="7" s="1"/>
  <c r="C8" i="7"/>
  <c r="M8" i="7" s="1"/>
  <c r="O8" i="7" s="1"/>
  <c r="C10" i="7"/>
  <c r="M10" i="7" s="1"/>
  <c r="O10" i="7" s="1"/>
  <c r="AB549" i="1"/>
  <c r="A549" i="1" s="1"/>
  <c r="Y559" i="1"/>
  <c r="AB632" i="1"/>
  <c r="A632" i="1" s="1"/>
  <c r="AB633" i="1"/>
  <c r="AA776" i="1"/>
  <c r="C11" i="7"/>
  <c r="M11" i="7" s="1"/>
  <c r="O11" i="7" s="1"/>
  <c r="C13" i="7"/>
  <c r="M13" i="7" s="1"/>
  <c r="O13" i="7" s="1"/>
  <c r="C15" i="7"/>
  <c r="M15" i="7" s="1"/>
  <c r="O15" i="7" s="1"/>
  <c r="C17" i="7"/>
  <c r="M17" i="7" s="1"/>
  <c r="O17" i="7" s="1"/>
  <c r="C19" i="7"/>
  <c r="M19" i="7" s="1"/>
  <c r="O19" i="7" s="1"/>
  <c r="AB684" i="1"/>
  <c r="AB825" i="1"/>
  <c r="AB867" i="1"/>
  <c r="AB773" i="1"/>
  <c r="Y896" i="1"/>
  <c r="AB822" i="1"/>
  <c r="W843" i="1"/>
  <c r="W845" i="1"/>
  <c r="E888" i="1" l="1"/>
  <c r="D888" i="1" s="1"/>
  <c r="C928" i="1" s="1"/>
  <c r="G27" i="36"/>
  <c r="M2" i="7"/>
  <c r="O2" i="7" s="1"/>
  <c r="K55" i="7"/>
  <c r="M55" i="7"/>
  <c r="O55" i="7" s="1"/>
  <c r="K35" i="7"/>
  <c r="M35" i="7"/>
  <c r="O35" i="7" s="1"/>
  <c r="K49" i="7"/>
  <c r="M49" i="7"/>
  <c r="O49" i="7" s="1"/>
  <c r="M51" i="7"/>
  <c r="O51" i="7" s="1"/>
  <c r="M31" i="7"/>
  <c r="O31" i="7" s="1"/>
  <c r="M29" i="7"/>
  <c r="O29" i="7" s="1"/>
  <c r="M57" i="7"/>
  <c r="O57" i="7" s="1"/>
  <c r="M47" i="7"/>
  <c r="O47" i="7" s="1"/>
  <c r="M23" i="7"/>
  <c r="O23" i="7" s="1"/>
  <c r="M53" i="7"/>
  <c r="O53" i="7" s="1"/>
  <c r="K25" i="7"/>
  <c r="M25" i="7"/>
  <c r="O25" i="7" s="1"/>
  <c r="M45" i="7"/>
  <c r="O45" i="7" s="1"/>
  <c r="M27" i="7"/>
  <c r="O27" i="7" s="1"/>
  <c r="K43" i="7"/>
  <c r="M43" i="7"/>
  <c r="O43" i="7" s="1"/>
  <c r="K33" i="7"/>
  <c r="M33" i="7"/>
  <c r="O33" i="7" s="1"/>
  <c r="M39" i="7"/>
  <c r="O39" i="7" s="1"/>
  <c r="M21" i="7"/>
  <c r="O21" i="7" s="1"/>
  <c r="K41" i="7"/>
  <c r="M41" i="7"/>
  <c r="O41" i="7" s="1"/>
  <c r="G741" i="1"/>
  <c r="AA675" i="1"/>
  <c r="AB675" i="1" s="1"/>
  <c r="A675" i="1" s="1"/>
  <c r="U817" i="1"/>
  <c r="U820" i="1"/>
  <c r="V820" i="1" s="1"/>
  <c r="AB824" i="1"/>
  <c r="A824" i="1" s="1"/>
  <c r="AB624" i="1"/>
  <c r="A624" i="1" s="1"/>
  <c r="V817" i="1"/>
  <c r="G545" i="1"/>
  <c r="G185" i="1"/>
  <c r="G287" i="1"/>
  <c r="G397" i="1"/>
  <c r="G462" i="1"/>
  <c r="AB631" i="1"/>
  <c r="A631" i="1" s="1"/>
  <c r="AB782" i="1"/>
  <c r="A782" i="1" s="1"/>
  <c r="AB621" i="1"/>
  <c r="A621" i="1" s="1"/>
  <c r="AB548" i="1"/>
  <c r="A548" i="1" s="1"/>
  <c r="E881" i="1"/>
  <c r="D881" i="1" s="1"/>
  <c r="E878" i="1"/>
  <c r="D878" i="1" s="1"/>
  <c r="E884" i="1"/>
  <c r="D884" i="1" s="1"/>
  <c r="E875" i="1"/>
  <c r="D875" i="1" s="1"/>
  <c r="AB572" i="1"/>
  <c r="A572" i="1" s="1"/>
  <c r="Z905" i="1"/>
  <c r="AB905" i="1" s="1"/>
  <c r="D644" i="1"/>
  <c r="D848" i="1" s="1"/>
  <c r="D853" i="1" s="1"/>
  <c r="AB622" i="1"/>
  <c r="A622" i="1" s="1"/>
  <c r="Z901" i="1"/>
  <c r="Y901" i="1"/>
  <c r="AB644" i="1"/>
  <c r="A644" i="1" s="1"/>
  <c r="AB897" i="1"/>
  <c r="A897" i="1" s="1"/>
  <c r="AB618" i="1"/>
  <c r="A618" i="1" s="1"/>
  <c r="AB620" i="1"/>
  <c r="A899" i="1"/>
  <c r="A861" i="1"/>
  <c r="A862" i="1"/>
  <c r="A865" i="1"/>
  <c r="A863" i="1"/>
  <c r="A864" i="1"/>
  <c r="A822" i="1"/>
  <c r="A867" i="1"/>
  <c r="A858" i="1"/>
  <c r="A873" i="1"/>
  <c r="A869" i="1"/>
  <c r="A868" i="1"/>
  <c r="A870" i="1"/>
  <c r="A773" i="1"/>
  <c r="A893" i="1"/>
  <c r="AB892" i="1"/>
  <c r="AB891" i="1"/>
  <c r="A825" i="1"/>
  <c r="A636" i="1"/>
  <c r="A634" i="1"/>
  <c r="A596" i="1"/>
  <c r="X646" i="1"/>
  <c r="AB646" i="1" s="1"/>
  <c r="AB645" i="1"/>
  <c r="A633" i="1"/>
  <c r="A579" i="1"/>
  <c r="A576" i="1"/>
  <c r="A571" i="1"/>
  <c r="A860" i="1"/>
  <c r="A859" i="1"/>
  <c r="A578" i="1"/>
  <c r="A872" i="1"/>
  <c r="A871" i="1"/>
  <c r="A574" i="1"/>
  <c r="A573" i="1"/>
  <c r="A665" i="1"/>
  <c r="X146" i="1"/>
  <c r="X145" i="1"/>
  <c r="X136" i="1"/>
  <c r="X42" i="1"/>
  <c r="X143" i="1"/>
  <c r="X147" i="1"/>
  <c r="X138" i="1"/>
  <c r="X137" i="1"/>
  <c r="X44" i="1"/>
  <c r="X142" i="1"/>
  <c r="X148" i="1"/>
  <c r="X139" i="1"/>
  <c r="X45" i="1"/>
  <c r="X40" i="1"/>
  <c r="X140" i="1"/>
  <c r="X46" i="1"/>
  <c r="X37" i="1"/>
  <c r="X48" i="1"/>
  <c r="X39" i="1"/>
  <c r="X141" i="1"/>
  <c r="X47" i="1"/>
  <c r="X38" i="1"/>
  <c r="X144" i="1"/>
  <c r="X43" i="1"/>
  <c r="X41" i="1"/>
  <c r="X49" i="1"/>
  <c r="X527" i="1"/>
  <c r="X519" i="1"/>
  <c r="X442" i="1"/>
  <c r="X370" i="1"/>
  <c r="X440" i="1"/>
  <c r="X528" i="1"/>
  <c r="X520" i="1"/>
  <c r="X443" i="1"/>
  <c r="X380" i="1"/>
  <c r="X379" i="1"/>
  <c r="X378" i="1"/>
  <c r="X377" i="1"/>
  <c r="X376" i="1"/>
  <c r="X375" i="1"/>
  <c r="X374" i="1"/>
  <c r="X373" i="1"/>
  <c r="X372" i="1"/>
  <c r="X371" i="1"/>
  <c r="X439" i="1"/>
  <c r="X529" i="1"/>
  <c r="X521" i="1"/>
  <c r="X444" i="1"/>
  <c r="X396" i="1"/>
  <c r="X395" i="1"/>
  <c r="X394" i="1"/>
  <c r="X393" i="1"/>
  <c r="X392" i="1"/>
  <c r="X391" i="1"/>
  <c r="X390" i="1"/>
  <c r="X389" i="1"/>
  <c r="X388" i="1"/>
  <c r="X387" i="1"/>
  <c r="X386" i="1"/>
  <c r="X385" i="1"/>
  <c r="X384" i="1"/>
  <c r="X383" i="1"/>
  <c r="X382" i="1"/>
  <c r="X381" i="1"/>
  <c r="X524" i="1"/>
  <c r="X530" i="1"/>
  <c r="X522" i="1"/>
  <c r="X445" i="1"/>
  <c r="X437" i="1"/>
  <c r="X447" i="1"/>
  <c r="X525" i="1"/>
  <c r="X368" i="1"/>
  <c r="X531" i="1"/>
  <c r="X523" i="1"/>
  <c r="X446" i="1"/>
  <c r="X438" i="1"/>
  <c r="X366" i="1"/>
  <c r="X367" i="1"/>
  <c r="X526" i="1"/>
  <c r="X449" i="1"/>
  <c r="X441" i="1"/>
  <c r="X369" i="1"/>
  <c r="X448" i="1"/>
  <c r="X286" i="1"/>
  <c r="X285" i="1"/>
  <c r="X284" i="1"/>
  <c r="X283" i="1"/>
  <c r="X282" i="1"/>
  <c r="X281" i="1"/>
  <c r="X280" i="1"/>
  <c r="X279" i="1"/>
  <c r="X278" i="1"/>
  <c r="X277" i="1"/>
  <c r="X244" i="1"/>
  <c r="AB244" i="1" s="1"/>
  <c r="X276" i="1"/>
  <c r="X275" i="1"/>
  <c r="X274" i="1"/>
  <c r="X273" i="1"/>
  <c r="X272" i="1"/>
  <c r="X271" i="1"/>
  <c r="X270" i="1"/>
  <c r="X269" i="1"/>
  <c r="X268" i="1"/>
  <c r="X267" i="1"/>
  <c r="X266" i="1"/>
  <c r="X265" i="1"/>
  <c r="X264" i="1"/>
  <c r="X263" i="1"/>
  <c r="X262" i="1"/>
  <c r="X261" i="1"/>
  <c r="X260" i="1"/>
  <c r="AA741" i="1"/>
  <c r="K58" i="7"/>
  <c r="K70" i="7"/>
  <c r="K61" i="7"/>
  <c r="K65" i="7"/>
  <c r="K63" i="7"/>
  <c r="K74" i="7"/>
  <c r="K72" i="7"/>
  <c r="K64" i="7"/>
  <c r="K62" i="7"/>
  <c r="K60" i="7"/>
  <c r="K66" i="7"/>
  <c r="K68" i="7"/>
  <c r="K67" i="7"/>
  <c r="K73" i="7"/>
  <c r="K71" i="7"/>
  <c r="K69" i="7"/>
  <c r="K98" i="7"/>
  <c r="K100" i="7"/>
  <c r="K101" i="7"/>
  <c r="K99" i="7"/>
  <c r="AA682" i="1"/>
  <c r="AB570" i="1"/>
  <c r="AA751" i="1"/>
  <c r="X807" i="1"/>
  <c r="AB807" i="1" s="1"/>
  <c r="X810" i="1"/>
  <c r="AB810" i="1" s="1"/>
  <c r="X809" i="1"/>
  <c r="AB809" i="1" s="1"/>
  <c r="AB594" i="1"/>
  <c r="AB611" i="1"/>
  <c r="AB614" i="1"/>
  <c r="AB609" i="1"/>
  <c r="A609" i="1" s="1"/>
  <c r="AB617" i="1"/>
  <c r="X585" i="1"/>
  <c r="AB613" i="1"/>
  <c r="X610" i="1"/>
  <c r="X604" i="1"/>
  <c r="X98" i="1"/>
  <c r="AB98" i="1" s="1"/>
  <c r="X94" i="1"/>
  <c r="AB94" i="1" s="1"/>
  <c r="X90" i="1"/>
  <c r="X86" i="1"/>
  <c r="X82" i="1"/>
  <c r="AB82" i="1" s="1"/>
  <c r="X78" i="1"/>
  <c r="X59" i="1"/>
  <c r="X55" i="1"/>
  <c r="X51" i="1"/>
  <c r="X34" i="1"/>
  <c r="AB34" i="1" s="1"/>
  <c r="X30" i="1"/>
  <c r="X26" i="1"/>
  <c r="X22" i="1"/>
  <c r="AB22" i="1" s="1"/>
  <c r="X18" i="1"/>
  <c r="X14" i="1"/>
  <c r="AB14" i="1" s="1"/>
  <c r="X10" i="1"/>
  <c r="X178" i="1"/>
  <c r="AB178" i="1" s="1"/>
  <c r="X133" i="1"/>
  <c r="AB133" i="1" s="1"/>
  <c r="X121" i="1"/>
  <c r="X117" i="1"/>
  <c r="AB117" i="1" s="1"/>
  <c r="X181" i="1"/>
  <c r="X177" i="1"/>
  <c r="AB177" i="1" s="1"/>
  <c r="X173" i="1"/>
  <c r="X169" i="1"/>
  <c r="X165" i="1"/>
  <c r="AB165" i="1" s="1"/>
  <c r="X161" i="1"/>
  <c r="X157" i="1"/>
  <c r="X153" i="1"/>
  <c r="X149" i="1"/>
  <c r="AB149" i="1" s="1"/>
  <c r="X132" i="1"/>
  <c r="AB132" i="1" s="1"/>
  <c r="X128" i="1"/>
  <c r="X124" i="1"/>
  <c r="X120" i="1"/>
  <c r="X116" i="1"/>
  <c r="X112" i="1"/>
  <c r="X108" i="1"/>
  <c r="AB108" i="1" s="1"/>
  <c r="X104" i="1"/>
  <c r="AB104" i="1" s="1"/>
  <c r="X182" i="1"/>
  <c r="X158" i="1"/>
  <c r="X125" i="1"/>
  <c r="X113" i="1"/>
  <c r="X184" i="1"/>
  <c r="X160" i="1"/>
  <c r="X99" i="1"/>
  <c r="X95" i="1"/>
  <c r="X91" i="1"/>
  <c r="X87" i="1"/>
  <c r="AB87" i="1" s="1"/>
  <c r="X83" i="1"/>
  <c r="X79" i="1"/>
  <c r="X75" i="1"/>
  <c r="X56" i="1"/>
  <c r="AB56" i="1" s="1"/>
  <c r="X52" i="1"/>
  <c r="X35" i="1"/>
  <c r="X31" i="1"/>
  <c r="X27" i="1"/>
  <c r="AB27" i="1" s="1"/>
  <c r="X23" i="1"/>
  <c r="X19" i="1"/>
  <c r="X15" i="1"/>
  <c r="X11" i="1"/>
  <c r="X4" i="1"/>
  <c r="X174" i="1"/>
  <c r="X170" i="1"/>
  <c r="X166" i="1"/>
  <c r="X162" i="1"/>
  <c r="X150" i="1"/>
  <c r="AB150" i="1" s="1"/>
  <c r="X129" i="1"/>
  <c r="X109" i="1"/>
  <c r="X105" i="1"/>
  <c r="X156" i="1"/>
  <c r="X154" i="1"/>
  <c r="AB154" i="1" s="1"/>
  <c r="X168" i="1"/>
  <c r="X562" i="1"/>
  <c r="X100" i="1"/>
  <c r="AB100" i="1" s="1"/>
  <c r="X96" i="1"/>
  <c r="AB96" i="1" s="1"/>
  <c r="X92" i="1"/>
  <c r="X88" i="1"/>
  <c r="AB88" i="1" s="1"/>
  <c r="X84" i="1"/>
  <c r="X80" i="1"/>
  <c r="AB80" i="1" s="1"/>
  <c r="X76" i="1"/>
  <c r="X57" i="1"/>
  <c r="X53" i="1"/>
  <c r="AB53" i="1" s="1"/>
  <c r="X36" i="1"/>
  <c r="AB36" i="1" s="1"/>
  <c r="X32" i="1"/>
  <c r="X28" i="1"/>
  <c r="AB28" i="1" s="1"/>
  <c r="X24" i="1"/>
  <c r="AB24" i="1" s="1"/>
  <c r="X20" i="1"/>
  <c r="AB20" i="1" s="1"/>
  <c r="X16" i="1"/>
  <c r="X12" i="1"/>
  <c r="X8" i="1"/>
  <c r="X7" i="1"/>
  <c r="X6" i="1"/>
  <c r="X5" i="1"/>
  <c r="X180" i="1"/>
  <c r="X172" i="1"/>
  <c r="AB172" i="1" s="1"/>
  <c r="X164" i="1"/>
  <c r="X183" i="1"/>
  <c r="X179" i="1"/>
  <c r="X175" i="1"/>
  <c r="AB175" i="1" s="1"/>
  <c r="X171" i="1"/>
  <c r="X167" i="1"/>
  <c r="X163" i="1"/>
  <c r="X159" i="1"/>
  <c r="AB159" i="1" s="1"/>
  <c r="X155" i="1"/>
  <c r="AB155" i="1" s="1"/>
  <c r="X151" i="1"/>
  <c r="X134" i="1"/>
  <c r="AB134" i="1" s="1"/>
  <c r="X130" i="1"/>
  <c r="X126" i="1"/>
  <c r="X122" i="1"/>
  <c r="AB122" i="1" s="1"/>
  <c r="X118" i="1"/>
  <c r="X114" i="1"/>
  <c r="X110" i="1"/>
  <c r="AB110" i="1" s="1"/>
  <c r="X106" i="1"/>
  <c r="X102" i="1"/>
  <c r="X97" i="1"/>
  <c r="X93" i="1"/>
  <c r="X89" i="1"/>
  <c r="X85" i="1"/>
  <c r="AB85" i="1" s="1"/>
  <c r="X81" i="1"/>
  <c r="AB81" i="1" s="1"/>
  <c r="X77" i="1"/>
  <c r="X58" i="1"/>
  <c r="X54" i="1"/>
  <c r="X50" i="1"/>
  <c r="X33" i="1"/>
  <c r="X29" i="1"/>
  <c r="AB29" i="1" s="1"/>
  <c r="X25" i="1"/>
  <c r="AB25" i="1" s="1"/>
  <c r="X21" i="1"/>
  <c r="X17" i="1"/>
  <c r="X13" i="1"/>
  <c r="X9" i="1"/>
  <c r="AB9" i="1" s="1"/>
  <c r="X176" i="1"/>
  <c r="AB176" i="1" s="1"/>
  <c r="X152" i="1"/>
  <c r="X107" i="1"/>
  <c r="AB107" i="1" s="1"/>
  <c r="X119" i="1"/>
  <c r="X131" i="1"/>
  <c r="X3" i="1"/>
  <c r="X111" i="1"/>
  <c r="X123" i="1"/>
  <c r="AB123" i="1" s="1"/>
  <c r="X135" i="1"/>
  <c r="X103" i="1"/>
  <c r="X127" i="1"/>
  <c r="AB127" i="1" s="1"/>
  <c r="X115" i="1"/>
  <c r="X623" i="1"/>
  <c r="X603" i="1"/>
  <c r="X918" i="1" s="1"/>
  <c r="X543" i="1"/>
  <c r="X539" i="1"/>
  <c r="X535" i="1"/>
  <c r="AB535" i="1" s="1"/>
  <c r="X515" i="1"/>
  <c r="X511" i="1"/>
  <c r="AB511" i="1" s="1"/>
  <c r="X507" i="1"/>
  <c r="X503" i="1"/>
  <c r="X499" i="1"/>
  <c r="X495" i="1"/>
  <c r="AB495" i="1" s="1"/>
  <c r="X491" i="1"/>
  <c r="X487" i="1"/>
  <c r="X483" i="1"/>
  <c r="X588" i="1"/>
  <c r="X583" i="1"/>
  <c r="X606" i="1"/>
  <c r="X599" i="1"/>
  <c r="X592" i="1"/>
  <c r="X553" i="1"/>
  <c r="X544" i="1"/>
  <c r="X540" i="1"/>
  <c r="AB540" i="1" s="1"/>
  <c r="X536" i="1"/>
  <c r="X532" i="1"/>
  <c r="X516" i="1"/>
  <c r="X512" i="1"/>
  <c r="X508" i="1"/>
  <c r="AB508" i="1" s="1"/>
  <c r="X504" i="1"/>
  <c r="X500" i="1"/>
  <c r="AB500" i="1" s="1"/>
  <c r="X496" i="1"/>
  <c r="X492" i="1"/>
  <c r="X488" i="1"/>
  <c r="X484" i="1"/>
  <c r="AB484" i="1" s="1"/>
  <c r="X461" i="1"/>
  <c r="X457" i="1"/>
  <c r="X586" i="1"/>
  <c r="X597" i="1"/>
  <c r="X590" i="1"/>
  <c r="X541" i="1"/>
  <c r="X537" i="1"/>
  <c r="X533" i="1"/>
  <c r="AB533" i="1" s="1"/>
  <c r="X517" i="1"/>
  <c r="AB517" i="1" s="1"/>
  <c r="X513" i="1"/>
  <c r="X509" i="1"/>
  <c r="X505" i="1"/>
  <c r="AB505" i="1" s="1"/>
  <c r="X501" i="1"/>
  <c r="X497" i="1"/>
  <c r="X493" i="1"/>
  <c r="AB493" i="1" s="1"/>
  <c r="X489" i="1"/>
  <c r="AB489" i="1" s="1"/>
  <c r="X485" i="1"/>
  <c r="X481" i="1"/>
  <c r="X458" i="1"/>
  <c r="X454" i="1"/>
  <c r="AB454" i="1" s="1"/>
  <c r="X600" i="1"/>
  <c r="X595" i="1"/>
  <c r="X534" i="1"/>
  <c r="AB534" i="1" s="1"/>
  <c r="X494" i="1"/>
  <c r="AB494" i="1" s="1"/>
  <c r="X450" i="1"/>
  <c r="X433" i="1"/>
  <c r="X429" i="1"/>
  <c r="AB429" i="1" s="1"/>
  <c r="X425" i="1"/>
  <c r="AB425" i="1" s="1"/>
  <c r="X421" i="1"/>
  <c r="X417" i="1"/>
  <c r="X413" i="1"/>
  <c r="X409" i="1"/>
  <c r="AB409" i="1" s="1"/>
  <c r="X405" i="1"/>
  <c r="X401" i="1"/>
  <c r="X365" i="1"/>
  <c r="X361" i="1"/>
  <c r="X357" i="1"/>
  <c r="X353" i="1"/>
  <c r="X349" i="1"/>
  <c r="AB349" i="1" s="1"/>
  <c r="X345" i="1"/>
  <c r="AB345" i="1" s="1"/>
  <c r="X341" i="1"/>
  <c r="X337" i="1"/>
  <c r="X333" i="1"/>
  <c r="X329" i="1"/>
  <c r="AB329" i="1" s="1"/>
  <c r="X325" i="1"/>
  <c r="X321" i="1"/>
  <c r="X317" i="1"/>
  <c r="X313" i="1"/>
  <c r="AB313" i="1" s="1"/>
  <c r="X309" i="1"/>
  <c r="X305" i="1"/>
  <c r="X301" i="1"/>
  <c r="X297" i="1"/>
  <c r="AB297" i="1" s="1"/>
  <c r="X293" i="1"/>
  <c r="X289" i="1"/>
  <c r="X258" i="1"/>
  <c r="AB258" i="1" s="1"/>
  <c r="X254" i="1"/>
  <c r="AB254" i="1" s="1"/>
  <c r="X250" i="1"/>
  <c r="X246" i="1"/>
  <c r="X241" i="1"/>
  <c r="AB241" i="1" s="1"/>
  <c r="X237" i="1"/>
  <c r="X233" i="1"/>
  <c r="X229" i="1"/>
  <c r="X225" i="1"/>
  <c r="X221" i="1"/>
  <c r="AB221" i="1" s="1"/>
  <c r="X217" i="1"/>
  <c r="X213" i="1"/>
  <c r="X209" i="1"/>
  <c r="X205" i="1"/>
  <c r="AB205" i="1" s="1"/>
  <c r="X201" i="1"/>
  <c r="X197" i="1"/>
  <c r="X591" i="1"/>
  <c r="X506" i="1"/>
  <c r="X194" i="1"/>
  <c r="AB194" i="1" s="1"/>
  <c r="X190" i="1"/>
  <c r="X191" i="1"/>
  <c r="AB191" i="1" s="1"/>
  <c r="X189" i="1"/>
  <c r="X518" i="1"/>
  <c r="X486" i="1"/>
  <c r="X451" i="1"/>
  <c r="X434" i="1"/>
  <c r="X430" i="1"/>
  <c r="X426" i="1"/>
  <c r="X422" i="1"/>
  <c r="X418" i="1"/>
  <c r="AB418" i="1" s="1"/>
  <c r="X414" i="1"/>
  <c r="X410" i="1"/>
  <c r="X406" i="1"/>
  <c r="AB406" i="1" s="1"/>
  <c r="X402" i="1"/>
  <c r="AB402" i="1" s="1"/>
  <c r="X362" i="1"/>
  <c r="X358" i="1"/>
  <c r="X354" i="1"/>
  <c r="X350" i="1"/>
  <c r="X346" i="1"/>
  <c r="X342" i="1"/>
  <c r="X338" i="1"/>
  <c r="X334" i="1"/>
  <c r="X330" i="1"/>
  <c r="X326" i="1"/>
  <c r="X322" i="1"/>
  <c r="X318" i="1"/>
  <c r="X314" i="1"/>
  <c r="X310" i="1"/>
  <c r="X306" i="1"/>
  <c r="AB306" i="1" s="1"/>
  <c r="X302" i="1"/>
  <c r="X298" i="1"/>
  <c r="X294" i="1"/>
  <c r="X290" i="1"/>
  <c r="AB290" i="1" s="1"/>
  <c r="X259" i="1"/>
  <c r="X255" i="1"/>
  <c r="X251" i="1"/>
  <c r="X247" i="1"/>
  <c r="X242" i="1"/>
  <c r="X238" i="1"/>
  <c r="X234" i="1"/>
  <c r="AB234" i="1" s="1"/>
  <c r="X230" i="1"/>
  <c r="X226" i="1"/>
  <c r="X222" i="1"/>
  <c r="X218" i="1"/>
  <c r="X214" i="1"/>
  <c r="X210" i="1"/>
  <c r="X206" i="1"/>
  <c r="X202" i="1"/>
  <c r="X198" i="1"/>
  <c r="AB198" i="1" s="1"/>
  <c r="X538" i="1"/>
  <c r="X498" i="1"/>
  <c r="X455" i="1"/>
  <c r="X195" i="1"/>
  <c r="X187" i="1"/>
  <c r="X582" i="1"/>
  <c r="X510" i="1"/>
  <c r="X452" i="1"/>
  <c r="X435" i="1"/>
  <c r="X431" i="1"/>
  <c r="X427" i="1"/>
  <c r="AB427" i="1" s="1"/>
  <c r="X423" i="1"/>
  <c r="AB423" i="1" s="1"/>
  <c r="X419" i="1"/>
  <c r="X415" i="1"/>
  <c r="X411" i="1"/>
  <c r="X407" i="1"/>
  <c r="X403" i="1"/>
  <c r="X399" i="1"/>
  <c r="X363" i="1"/>
  <c r="X359" i="1"/>
  <c r="AB359" i="1" s="1"/>
  <c r="X355" i="1"/>
  <c r="X351" i="1"/>
  <c r="X347" i="1"/>
  <c r="AB347" i="1" s="1"/>
  <c r="X343" i="1"/>
  <c r="X339" i="1"/>
  <c r="X335" i="1"/>
  <c r="X331" i="1"/>
  <c r="X327" i="1"/>
  <c r="X323" i="1"/>
  <c r="X319" i="1"/>
  <c r="X315" i="1"/>
  <c r="X311" i="1"/>
  <c r="X307" i="1"/>
  <c r="X303" i="1"/>
  <c r="X299" i="1"/>
  <c r="AB299" i="1" s="1"/>
  <c r="X295" i="1"/>
  <c r="AB295" i="1" s="1"/>
  <c r="X291" i="1"/>
  <c r="X256" i="1"/>
  <c r="X252" i="1"/>
  <c r="X248" i="1"/>
  <c r="X243" i="1"/>
  <c r="X239" i="1"/>
  <c r="X235" i="1"/>
  <c r="X231" i="1"/>
  <c r="X227" i="1"/>
  <c r="X223" i="1"/>
  <c r="X219" i="1"/>
  <c r="X215" i="1"/>
  <c r="X211" i="1"/>
  <c r="AB211" i="1" s="1"/>
  <c r="X207" i="1"/>
  <c r="X203" i="1"/>
  <c r="X199" i="1"/>
  <c r="X193" i="1"/>
  <c r="AB193" i="1" s="1"/>
  <c r="X580" i="1"/>
  <c r="X490" i="1"/>
  <c r="X459" i="1"/>
  <c r="X456" i="1"/>
  <c r="X192" i="1"/>
  <c r="X188" i="1"/>
  <c r="X514" i="1"/>
  <c r="X587" i="1"/>
  <c r="X542" i="1"/>
  <c r="X502" i="1"/>
  <c r="AB502" i="1" s="1"/>
  <c r="X453" i="1"/>
  <c r="X436" i="1"/>
  <c r="AB436" i="1" s="1"/>
  <c r="X432" i="1"/>
  <c r="X428" i="1"/>
  <c r="X424" i="1"/>
  <c r="AB424" i="1" s="1"/>
  <c r="X420" i="1"/>
  <c r="AB420" i="1" s="1"/>
  <c r="X416" i="1"/>
  <c r="X412" i="1"/>
  <c r="X408" i="1"/>
  <c r="X404" i="1"/>
  <c r="AB404" i="1" s="1"/>
  <c r="X400" i="1"/>
  <c r="AB400" i="1" s="1"/>
  <c r="X364" i="1"/>
  <c r="X360" i="1"/>
  <c r="X356" i="1"/>
  <c r="X352" i="1"/>
  <c r="X348" i="1"/>
  <c r="X344" i="1"/>
  <c r="X340" i="1"/>
  <c r="AB340" i="1" s="1"/>
  <c r="X336" i="1"/>
  <c r="AB336" i="1" s="1"/>
  <c r="X332" i="1"/>
  <c r="AB332" i="1" s="1"/>
  <c r="X328" i="1"/>
  <c r="AB328" i="1" s="1"/>
  <c r="X324" i="1"/>
  <c r="X320" i="1"/>
  <c r="X316" i="1"/>
  <c r="X312" i="1"/>
  <c r="X308" i="1"/>
  <c r="AB308" i="1" s="1"/>
  <c r="X304" i="1"/>
  <c r="X300" i="1"/>
  <c r="X296" i="1"/>
  <c r="X292" i="1"/>
  <c r="AB292" i="1" s="1"/>
  <c r="X257" i="1"/>
  <c r="X253" i="1"/>
  <c r="X249" i="1"/>
  <c r="X245" i="1"/>
  <c r="X240" i="1"/>
  <c r="X236" i="1"/>
  <c r="X232" i="1"/>
  <c r="X228" i="1"/>
  <c r="X224" i="1"/>
  <c r="X220" i="1"/>
  <c r="X216" i="1"/>
  <c r="X212" i="1"/>
  <c r="X208" i="1"/>
  <c r="X204" i="1"/>
  <c r="X200" i="1"/>
  <c r="X196" i="1"/>
  <c r="X482" i="1"/>
  <c r="X460" i="1"/>
  <c r="X567" i="1"/>
  <c r="X598" i="1"/>
  <c r="K39" i="7"/>
  <c r="K37" i="7"/>
  <c r="V662" i="1"/>
  <c r="AA733" i="1"/>
  <c r="AB552" i="1"/>
  <c r="V657" i="1"/>
  <c r="S804" i="1"/>
  <c r="V648" i="1"/>
  <c r="S806" i="1"/>
  <c r="X656" i="1"/>
  <c r="AA693" i="1"/>
  <c r="AA709" i="1"/>
  <c r="AA731" i="1"/>
  <c r="AA750" i="1"/>
  <c r="AA699" i="1"/>
  <c r="AA715" i="1"/>
  <c r="AA735" i="1"/>
  <c r="AA767" i="1"/>
  <c r="S789" i="1"/>
  <c r="S797" i="1"/>
  <c r="S796" i="1"/>
  <c r="AA710" i="1"/>
  <c r="AA673" i="1"/>
  <c r="AA768" i="1"/>
  <c r="AA698" i="1"/>
  <c r="AA667" i="1"/>
  <c r="AA753" i="1"/>
  <c r="AA704" i="1"/>
  <c r="AA749" i="1"/>
  <c r="AA700" i="1"/>
  <c r="AA716" i="1"/>
  <c r="AB894" i="1"/>
  <c r="X811" i="1"/>
  <c r="V654" i="1"/>
  <c r="AB550" i="1"/>
  <c r="A550" i="1" s="1"/>
  <c r="AA697" i="1"/>
  <c r="AA754" i="1"/>
  <c r="AA744" i="1"/>
  <c r="AB605" i="1"/>
  <c r="S800" i="1"/>
  <c r="V650" i="1"/>
  <c r="S802" i="1"/>
  <c r="V649" i="1"/>
  <c r="V663" i="1"/>
  <c r="AA701" i="1"/>
  <c r="AA717" i="1"/>
  <c r="AA737" i="1"/>
  <c r="AA691" i="1"/>
  <c r="AA707" i="1"/>
  <c r="AA729" i="1"/>
  <c r="AA748" i="1"/>
  <c r="S788" i="1"/>
  <c r="S793" i="1"/>
  <c r="S798" i="1"/>
  <c r="AA738" i="1"/>
  <c r="AA694" i="1"/>
  <c r="AA666" i="1"/>
  <c r="V658" i="1"/>
  <c r="AA770" i="1"/>
  <c r="AA724" i="1"/>
  <c r="F676" i="1"/>
  <c r="AA730" i="1"/>
  <c r="AA681" i="1"/>
  <c r="AA745" i="1"/>
  <c r="AA668" i="1"/>
  <c r="AA765" i="1"/>
  <c r="AA672" i="1"/>
  <c r="S805" i="1"/>
  <c r="AA713" i="1"/>
  <c r="AA703" i="1"/>
  <c r="AA719" i="1"/>
  <c r="S791" i="1"/>
  <c r="AB808" i="1"/>
  <c r="AA702" i="1"/>
  <c r="AA669" i="1"/>
  <c r="AA747" i="1"/>
  <c r="AA683" i="1"/>
  <c r="AA736" i="1"/>
  <c r="AA692" i="1"/>
  <c r="AA706" i="1"/>
  <c r="AA679" i="1"/>
  <c r="AA696" i="1"/>
  <c r="S799" i="1"/>
  <c r="AB569" i="1"/>
  <c r="AB615" i="1"/>
  <c r="V660" i="1"/>
  <c r="S803" i="1"/>
  <c r="V661" i="1"/>
  <c r="V655" i="1"/>
  <c r="V659" i="1"/>
  <c r="S790" i="1"/>
  <c r="AA685" i="1"/>
  <c r="AA705" i="1"/>
  <c r="AA726" i="1"/>
  <c r="AA746" i="1"/>
  <c r="AA695" i="1"/>
  <c r="AA711" i="1"/>
  <c r="AA752" i="1"/>
  <c r="S787" i="1"/>
  <c r="S794" i="1"/>
  <c r="S792" i="1"/>
  <c r="AA718" i="1"/>
  <c r="AA678" i="1"/>
  <c r="AA769" i="1"/>
  <c r="AA708" i="1"/>
  <c r="AA671" i="1"/>
  <c r="AA714" i="1"/>
  <c r="AA674" i="1"/>
  <c r="AA670" i="1"/>
  <c r="AA728" i="1"/>
  <c r="AA734" i="1"/>
  <c r="AA689" i="1"/>
  <c r="AA712" i="1"/>
  <c r="K53" i="7"/>
  <c r="K45" i="7"/>
  <c r="K27" i="7"/>
  <c r="K47" i="7"/>
  <c r="K31" i="7"/>
  <c r="K23" i="7"/>
  <c r="K51" i="7"/>
  <c r="K21" i="7"/>
  <c r="K29" i="7"/>
  <c r="AB856" i="1"/>
  <c r="F953" i="1"/>
  <c r="AB857" i="1"/>
  <c r="AA676" i="1"/>
  <c r="AA680" i="1"/>
  <c r="F678" i="1"/>
  <c r="K57" i="7"/>
  <c r="S832" i="1"/>
  <c r="K13" i="7"/>
  <c r="K56" i="7"/>
  <c r="K52" i="7"/>
  <c r="K42" i="7"/>
  <c r="K38" i="7"/>
  <c r="K34" i="7"/>
  <c r="K18" i="7"/>
  <c r="K7" i="7"/>
  <c r="K3" i="7"/>
  <c r="K17" i="7"/>
  <c r="K8" i="7"/>
  <c r="K4" i="7"/>
  <c r="AB896" i="1"/>
  <c r="K46" i="7"/>
  <c r="K32" i="7"/>
  <c r="K28" i="7"/>
  <c r="K24" i="7"/>
  <c r="K12" i="7"/>
  <c r="K19" i="7"/>
  <c r="K15" i="7"/>
  <c r="K11" i="7"/>
  <c r="K54" i="7"/>
  <c r="K50" i="7"/>
  <c r="K44" i="7"/>
  <c r="K40" i="7"/>
  <c r="K36" i="7"/>
  <c r="K20" i="7"/>
  <c r="K14" i="7"/>
  <c r="K5" i="7"/>
  <c r="AB559" i="1"/>
  <c r="K10" i="7"/>
  <c r="K6" i="7"/>
  <c r="K2" i="7"/>
  <c r="K48" i="7"/>
  <c r="K30" i="7"/>
  <c r="K26" i="7"/>
  <c r="K22" i="7"/>
  <c r="K16" i="7"/>
  <c r="K9" i="7"/>
  <c r="G28" i="36" l="1"/>
  <c r="I27" i="36"/>
  <c r="O102" i="7"/>
  <c r="O104" i="7" s="1"/>
  <c r="W819" i="1"/>
  <c r="X819" i="1" s="1"/>
  <c r="AB819" i="1" s="1"/>
  <c r="A819" i="1" s="1"/>
  <c r="W818" i="1"/>
  <c r="X818" i="1" s="1"/>
  <c r="AB818" i="1" s="1"/>
  <c r="A818" i="1" s="1"/>
  <c r="W608" i="1"/>
  <c r="W607" i="1"/>
  <c r="A625" i="1"/>
  <c r="A781" i="1"/>
  <c r="W772" i="1"/>
  <c r="AA772" i="1" s="1"/>
  <c r="W771" i="1"/>
  <c r="C927" i="1"/>
  <c r="C926" i="1"/>
  <c r="D901" i="1"/>
  <c r="AB901" i="1"/>
  <c r="A620" i="1"/>
  <c r="W928" i="1"/>
  <c r="AB263" i="1"/>
  <c r="AB271" i="1"/>
  <c r="AB278" i="1"/>
  <c r="AB286" i="1"/>
  <c r="A286" i="1" s="1"/>
  <c r="AB438" i="1"/>
  <c r="AB445" i="1"/>
  <c r="A445" i="1" s="1"/>
  <c r="AB385" i="1"/>
  <c r="A385" i="1" s="1"/>
  <c r="AB393" i="1"/>
  <c r="AB371" i="1"/>
  <c r="AB379" i="1"/>
  <c r="AB519" i="1"/>
  <c r="A519" i="1" s="1"/>
  <c r="AB141" i="1"/>
  <c r="AB139" i="1"/>
  <c r="A139" i="1" s="1"/>
  <c r="AB42" i="1"/>
  <c r="A42" i="1" s="1"/>
  <c r="AB264" i="1"/>
  <c r="AB272" i="1"/>
  <c r="AB279" i="1"/>
  <c r="A279" i="1" s="1"/>
  <c r="AB448" i="1"/>
  <c r="A448" i="1" s="1"/>
  <c r="AB446" i="1"/>
  <c r="A446" i="1" s="1"/>
  <c r="AB522" i="1"/>
  <c r="AB386" i="1"/>
  <c r="AB394" i="1"/>
  <c r="AB372" i="1"/>
  <c r="A372" i="1" s="1"/>
  <c r="AB380" i="1"/>
  <c r="AB527" i="1"/>
  <c r="A527" i="1" s="1"/>
  <c r="AB39" i="1"/>
  <c r="A39" i="1" s="1"/>
  <c r="AB148" i="1"/>
  <c r="A148" i="1" s="1"/>
  <c r="AB136" i="1"/>
  <c r="A136" i="1" s="1"/>
  <c r="AB265" i="1"/>
  <c r="AB273" i="1"/>
  <c r="A273" i="1" s="1"/>
  <c r="AB280" i="1"/>
  <c r="AB369" i="1"/>
  <c r="AB523" i="1"/>
  <c r="AB530" i="1"/>
  <c r="AB387" i="1"/>
  <c r="AB395" i="1"/>
  <c r="AB373" i="1"/>
  <c r="AB443" i="1"/>
  <c r="A443" i="1" s="1"/>
  <c r="AB49" i="1"/>
  <c r="A49" i="1" s="1"/>
  <c r="AB48" i="1"/>
  <c r="AB142" i="1"/>
  <c r="AB145" i="1"/>
  <c r="AB751" i="1"/>
  <c r="A751" i="1" s="1"/>
  <c r="AB266" i="1"/>
  <c r="AB274" i="1"/>
  <c r="AB281" i="1"/>
  <c r="AB441" i="1"/>
  <c r="AB531" i="1"/>
  <c r="AB524" i="1"/>
  <c r="AB388" i="1"/>
  <c r="AB396" i="1"/>
  <c r="AB374" i="1"/>
  <c r="AB520" i="1"/>
  <c r="AB41" i="1"/>
  <c r="AB37" i="1"/>
  <c r="AB44" i="1"/>
  <c r="AB146" i="1"/>
  <c r="AB741" i="1"/>
  <c r="AB267" i="1"/>
  <c r="AB275" i="1"/>
  <c r="A275" i="1" s="1"/>
  <c r="AB282" i="1"/>
  <c r="AB449" i="1"/>
  <c r="AB368" i="1"/>
  <c r="A368" i="1" s="1"/>
  <c r="AB381" i="1"/>
  <c r="A381" i="1" s="1"/>
  <c r="AB389" i="1"/>
  <c r="AB444" i="1"/>
  <c r="AB375" i="1"/>
  <c r="AB528" i="1"/>
  <c r="AB43" i="1"/>
  <c r="AB46" i="1"/>
  <c r="A46" i="1" s="1"/>
  <c r="AB137" i="1"/>
  <c r="A137" i="1" s="1"/>
  <c r="AB682" i="1"/>
  <c r="AB260" i="1"/>
  <c r="A260" i="1" s="1"/>
  <c r="AB268" i="1"/>
  <c r="AB276" i="1"/>
  <c r="AB283" i="1"/>
  <c r="A283" i="1" s="1"/>
  <c r="AB526" i="1"/>
  <c r="AB525" i="1"/>
  <c r="AB382" i="1"/>
  <c r="AB390" i="1"/>
  <c r="AB521" i="1"/>
  <c r="A521" i="1" s="1"/>
  <c r="AB376" i="1"/>
  <c r="A376" i="1" s="1"/>
  <c r="AB440" i="1"/>
  <c r="AB144" i="1"/>
  <c r="AB140" i="1"/>
  <c r="A140" i="1" s="1"/>
  <c r="AB138" i="1"/>
  <c r="AB261" i="1"/>
  <c r="AB269" i="1"/>
  <c r="A269" i="1" s="1"/>
  <c r="AB284" i="1"/>
  <c r="AB367" i="1"/>
  <c r="A367" i="1" s="1"/>
  <c r="AB447" i="1"/>
  <c r="AB383" i="1"/>
  <c r="AB391" i="1"/>
  <c r="AB529" i="1"/>
  <c r="AB377" i="1"/>
  <c r="AB370" i="1"/>
  <c r="AB38" i="1"/>
  <c r="AB40" i="1"/>
  <c r="AB147" i="1"/>
  <c r="AB262" i="1"/>
  <c r="A262" i="1" s="1"/>
  <c r="AB270" i="1"/>
  <c r="AB277" i="1"/>
  <c r="A277" i="1" s="1"/>
  <c r="AB285" i="1"/>
  <c r="AB366" i="1"/>
  <c r="A366" i="1" s="1"/>
  <c r="AB437" i="1"/>
  <c r="AB384" i="1"/>
  <c r="AB392" i="1"/>
  <c r="AB439" i="1"/>
  <c r="A439" i="1" s="1"/>
  <c r="AB378" i="1"/>
  <c r="AB442" i="1"/>
  <c r="AB47" i="1"/>
  <c r="AB45" i="1"/>
  <c r="AB143" i="1"/>
  <c r="W931" i="1"/>
  <c r="A891" i="1"/>
  <c r="AB75" i="1"/>
  <c r="A75" i="1" s="1"/>
  <c r="A159" i="1"/>
  <c r="A154" i="1"/>
  <c r="A808" i="1"/>
  <c r="A418" i="1"/>
  <c r="A205" i="1"/>
  <c r="A297" i="1"/>
  <c r="A329" i="1"/>
  <c r="A425" i="1"/>
  <c r="A454" i="1"/>
  <c r="A505" i="1"/>
  <c r="A500" i="1"/>
  <c r="A127" i="1"/>
  <c r="A107" i="1"/>
  <c r="A29" i="1"/>
  <c r="A122" i="1"/>
  <c r="A28" i="1"/>
  <c r="A88" i="1"/>
  <c r="A108" i="1"/>
  <c r="A117" i="1"/>
  <c r="A172" i="1"/>
  <c r="A502" i="1"/>
  <c r="A347" i="1"/>
  <c r="A198" i="1"/>
  <c r="A290" i="1"/>
  <c r="A191" i="1"/>
  <c r="A241" i="1"/>
  <c r="A429" i="1"/>
  <c r="A535" i="1"/>
  <c r="A56" i="1"/>
  <c r="A336" i="1"/>
  <c r="A81" i="1"/>
  <c r="A80" i="1"/>
  <c r="A810" i="1"/>
  <c r="A234" i="1"/>
  <c r="A508" i="1"/>
  <c r="A176" i="1"/>
  <c r="A175" i="1"/>
  <c r="A36" i="1"/>
  <c r="A96" i="1"/>
  <c r="A133" i="1"/>
  <c r="A34" i="1"/>
  <c r="A94" i="1"/>
  <c r="AB598" i="1"/>
  <c r="A292" i="1"/>
  <c r="A420" i="1"/>
  <c r="A193" i="1"/>
  <c r="A194" i="1"/>
  <c r="A517" i="1"/>
  <c r="AB599" i="1"/>
  <c r="A495" i="1"/>
  <c r="A123" i="1"/>
  <c r="A9" i="1"/>
  <c r="A134" i="1"/>
  <c r="A53" i="1"/>
  <c r="A100" i="1"/>
  <c r="A150" i="1"/>
  <c r="A165" i="1"/>
  <c r="A178" i="1"/>
  <c r="A98" i="1"/>
  <c r="A328" i="1"/>
  <c r="A424" i="1"/>
  <c r="A295" i="1"/>
  <c r="A359" i="1"/>
  <c r="A423" i="1"/>
  <c r="A402" i="1"/>
  <c r="A221" i="1"/>
  <c r="A254" i="1"/>
  <c r="A313" i="1"/>
  <c r="A345" i="1"/>
  <c r="A409" i="1"/>
  <c r="A494" i="1"/>
  <c r="A489" i="1"/>
  <c r="A533" i="1"/>
  <c r="A484" i="1"/>
  <c r="AB606" i="1"/>
  <c r="AB603" i="1"/>
  <c r="A857" i="1"/>
  <c r="A332" i="1"/>
  <c r="A299" i="1"/>
  <c r="A427" i="1"/>
  <c r="A306" i="1"/>
  <c r="A406" i="1"/>
  <c r="A258" i="1"/>
  <c r="A349" i="1"/>
  <c r="A534" i="1"/>
  <c r="A493" i="1"/>
  <c r="A110" i="1"/>
  <c r="A155" i="1"/>
  <c r="A27" i="1"/>
  <c r="A87" i="1"/>
  <c r="A14" i="1"/>
  <c r="A809" i="1"/>
  <c r="A244" i="1"/>
  <c r="A400" i="1"/>
  <c r="A20" i="1"/>
  <c r="A132" i="1"/>
  <c r="A177" i="1"/>
  <c r="A605" i="1"/>
  <c r="A308" i="1"/>
  <c r="A340" i="1"/>
  <c r="A404" i="1"/>
  <c r="A436" i="1"/>
  <c r="A211" i="1"/>
  <c r="AB600" i="1"/>
  <c r="A540" i="1"/>
  <c r="A511" i="1"/>
  <c r="A25" i="1"/>
  <c r="A85" i="1"/>
  <c r="A24" i="1"/>
  <c r="A104" i="1"/>
  <c r="A149" i="1"/>
  <c r="A22" i="1"/>
  <c r="A82" i="1"/>
  <c r="A807" i="1"/>
  <c r="A894" i="1"/>
  <c r="A892" i="1"/>
  <c r="A611" i="1"/>
  <c r="A646" i="1"/>
  <c r="A645" i="1"/>
  <c r="AB590" i="1"/>
  <c r="AB588" i="1"/>
  <c r="AB585" i="1"/>
  <c r="A615" i="1"/>
  <c r="AB597" i="1"/>
  <c r="A617" i="1"/>
  <c r="AB580" i="1"/>
  <c r="A580" i="1" s="1"/>
  <c r="AB582" i="1"/>
  <c r="A582" i="1" s="1"/>
  <c r="A614" i="1"/>
  <c r="AB587" i="1"/>
  <c r="A594" i="1"/>
  <c r="AB591" i="1"/>
  <c r="A591" i="1" s="1"/>
  <c r="AB623" i="1"/>
  <c r="A612" i="1" s="1"/>
  <c r="AB595" i="1"/>
  <c r="A613" i="1"/>
  <c r="A570" i="1"/>
  <c r="AB567" i="1"/>
  <c r="A567" i="1" s="1"/>
  <c r="A569" i="1"/>
  <c r="A890" i="1"/>
  <c r="A856" i="1"/>
  <c r="A547" i="1"/>
  <c r="A552" i="1"/>
  <c r="A559" i="1"/>
  <c r="A643" i="1"/>
  <c r="A896" i="1"/>
  <c r="A638" i="1"/>
  <c r="AB5" i="1"/>
  <c r="A5" i="1" s="1"/>
  <c r="S774" i="1"/>
  <c r="AB296" i="1"/>
  <c r="AB294" i="1"/>
  <c r="AB79" i="1"/>
  <c r="AB430" i="1"/>
  <c r="AB128" i="1"/>
  <c r="AB408" i="1"/>
  <c r="AB453" i="1"/>
  <c r="AB310" i="1"/>
  <c r="AB95" i="1"/>
  <c r="AB78" i="1"/>
  <c r="AB361" i="1"/>
  <c r="AB245" i="1"/>
  <c r="AB89" i="1"/>
  <c r="AB51" i="1"/>
  <c r="AB17" i="1"/>
  <c r="AB304" i="1"/>
  <c r="AB192" i="1"/>
  <c r="AB203" i="1"/>
  <c r="AB327" i="1"/>
  <c r="AB195" i="1"/>
  <c r="AB302" i="1"/>
  <c r="AB334" i="1"/>
  <c r="AB217" i="1"/>
  <c r="AB250" i="1"/>
  <c r="AB309" i="1"/>
  <c r="AB341" i="1"/>
  <c r="AB405" i="1"/>
  <c r="AB450" i="1"/>
  <c r="AB485" i="1"/>
  <c r="AB553" i="1"/>
  <c r="AB487" i="1"/>
  <c r="AB152" i="1"/>
  <c r="AB33" i="1"/>
  <c r="AB93" i="1"/>
  <c r="AB126" i="1"/>
  <c r="AB32" i="1"/>
  <c r="AB92" i="1"/>
  <c r="AB109" i="1"/>
  <c r="AB11" i="1"/>
  <c r="AB160" i="1"/>
  <c r="AB112" i="1"/>
  <c r="AB157" i="1"/>
  <c r="AB30" i="1"/>
  <c r="AB90" i="1"/>
  <c r="AB324" i="1"/>
  <c r="AB256" i="1"/>
  <c r="AB153" i="1"/>
  <c r="AB365" i="1"/>
  <c r="AB31" i="1"/>
  <c r="AB77" i="1"/>
  <c r="AB235" i="1"/>
  <c r="AB461" i="1"/>
  <c r="AB592" i="1"/>
  <c r="AB135" i="1"/>
  <c r="AB50" i="1"/>
  <c r="AB97" i="1"/>
  <c r="AB129" i="1"/>
  <c r="AB184" i="1"/>
  <c r="AB116" i="1"/>
  <c r="AB161" i="1"/>
  <c r="AB322" i="1"/>
  <c r="AB119" i="1"/>
  <c r="AB114" i="1"/>
  <c r="AB179" i="1"/>
  <c r="AB84" i="1"/>
  <c r="AB342" i="1"/>
  <c r="AB249" i="1"/>
  <c r="AB131" i="1"/>
  <c r="AB460" i="1"/>
  <c r="AB312" i="1"/>
  <c r="AB344" i="1"/>
  <c r="AB459" i="1"/>
  <c r="AB243" i="1"/>
  <c r="AB303" i="1"/>
  <c r="AB335" i="1"/>
  <c r="AB399" i="1"/>
  <c r="AB218" i="1"/>
  <c r="AB225" i="1"/>
  <c r="AB317" i="1"/>
  <c r="AB413" i="1"/>
  <c r="AB516" i="1"/>
  <c r="AB210" i="1"/>
  <c r="AB19" i="1"/>
  <c r="AB120" i="1"/>
  <c r="AB691" i="1"/>
  <c r="X663" i="1"/>
  <c r="AB21" i="1"/>
  <c r="AB8" i="1"/>
  <c r="A8" i="1" s="1"/>
  <c r="AB338" i="1"/>
  <c r="AB237" i="1"/>
  <c r="AB202" i="1"/>
  <c r="AB356" i="1"/>
  <c r="AB610" i="1"/>
  <c r="AB315" i="1"/>
  <c r="AB358" i="1"/>
  <c r="AB158" i="1"/>
  <c r="AB209" i="1"/>
  <c r="AB458" i="1"/>
  <c r="AB189" i="1"/>
  <c r="AB257" i="1"/>
  <c r="AB316" i="1"/>
  <c r="AB348" i="1"/>
  <c r="AB412" i="1"/>
  <c r="AB248" i="1"/>
  <c r="AB307" i="1"/>
  <c r="AB339" i="1"/>
  <c r="AB435" i="1"/>
  <c r="AB314" i="1"/>
  <c r="AB197" i="1"/>
  <c r="AB229" i="1"/>
  <c r="AB289" i="1"/>
  <c r="A289" i="1" s="1"/>
  <c r="AB321" i="1"/>
  <c r="AB353" i="1"/>
  <c r="AB417" i="1"/>
  <c r="AB497" i="1"/>
  <c r="AB537" i="1"/>
  <c r="AB111" i="1"/>
  <c r="AB13" i="1"/>
  <c r="AB58" i="1"/>
  <c r="AB106" i="1"/>
  <c r="AB151" i="1"/>
  <c r="AB183" i="1"/>
  <c r="AB12" i="1"/>
  <c r="AB57" i="1"/>
  <c r="AB562" i="1"/>
  <c r="AB162" i="1"/>
  <c r="AB23" i="1"/>
  <c r="AB125" i="1"/>
  <c r="AB124" i="1"/>
  <c r="AB169" i="1"/>
  <c r="AB10" i="1"/>
  <c r="AB55" i="1"/>
  <c r="AB604" i="1"/>
  <c r="AB354" i="1"/>
  <c r="AB54" i="1"/>
  <c r="AB431" i="1"/>
  <c r="AB457" i="1"/>
  <c r="AB171" i="1"/>
  <c r="AB196" i="1"/>
  <c r="AB320" i="1"/>
  <c r="AB352" i="1"/>
  <c r="AB416" i="1"/>
  <c r="AB542" i="1"/>
  <c r="AB219" i="1"/>
  <c r="AB252" i="1"/>
  <c r="AB311" i="1"/>
  <c r="AB343" i="1"/>
  <c r="AB407" i="1"/>
  <c r="AB452" i="1"/>
  <c r="AB226" i="1"/>
  <c r="AB318" i="1"/>
  <c r="AB350" i="1"/>
  <c r="AB414" i="1"/>
  <c r="AB518" i="1"/>
  <c r="AB201" i="1"/>
  <c r="AB233" i="1"/>
  <c r="AB293" i="1"/>
  <c r="AB325" i="1"/>
  <c r="AB357" i="1"/>
  <c r="AB421" i="1"/>
  <c r="AB501" i="1"/>
  <c r="AB541" i="1"/>
  <c r="AB532" i="1"/>
  <c r="AB503" i="1"/>
  <c r="AB543" i="1"/>
  <c r="AB16" i="1"/>
  <c r="AB76" i="1"/>
  <c r="AB168" i="1"/>
  <c r="AB59" i="1"/>
  <c r="AB102" i="1"/>
  <c r="AB103" i="1"/>
  <c r="AB451" i="1"/>
  <c r="AB583" i="1"/>
  <c r="AB26" i="1"/>
  <c r="AB434" i="1"/>
  <c r="AB18" i="1"/>
  <c r="AB363" i="1"/>
  <c r="AB180" i="1"/>
  <c r="AB301" i="1"/>
  <c r="AB200" i="1"/>
  <c r="AB432" i="1"/>
  <c r="AB204" i="1"/>
  <c r="AB360" i="1"/>
  <c r="AB514" i="1"/>
  <c r="AB227" i="1"/>
  <c r="AB319" i="1"/>
  <c r="AB351" i="1"/>
  <c r="AB415" i="1"/>
  <c r="AB326" i="1"/>
  <c r="AB422" i="1"/>
  <c r="AB509" i="1"/>
  <c r="AB166" i="1"/>
  <c r="AB115" i="1"/>
  <c r="AB118" i="1"/>
  <c r="AB35" i="1"/>
  <c r="AB181" i="1"/>
  <c r="AB331" i="1"/>
  <c r="AB170" i="1"/>
  <c r="AB163" i="1"/>
  <c r="AB242" i="1"/>
  <c r="AB333" i="1"/>
  <c r="AB173" i="1"/>
  <c r="AB300" i="1"/>
  <c r="AB364" i="1"/>
  <c r="AB428" i="1"/>
  <c r="AB188" i="1"/>
  <c r="AB199" i="1"/>
  <c r="AB291" i="1"/>
  <c r="AB419" i="1"/>
  <c r="AB362" i="1"/>
  <c r="AB426" i="1"/>
  <c r="AB190" i="1"/>
  <c r="AB213" i="1"/>
  <c r="AB246" i="1"/>
  <c r="AB305" i="1"/>
  <c r="AB337" i="1"/>
  <c r="AB401" i="1"/>
  <c r="AB433" i="1"/>
  <c r="AB513" i="1"/>
  <c r="AB586" i="1"/>
  <c r="A586" i="1" s="1"/>
  <c r="AB544" i="1"/>
  <c r="AB167" i="1"/>
  <c r="AB105" i="1"/>
  <c r="AB86" i="1"/>
  <c r="AB6" i="1"/>
  <c r="A6" i="1" s="1"/>
  <c r="E813" i="1"/>
  <c r="AB4" i="1"/>
  <c r="A4" i="1" s="1"/>
  <c r="AB676" i="1"/>
  <c r="AB486" i="1"/>
  <c r="AB224" i="1"/>
  <c r="AB222" i="1"/>
  <c r="AB728" i="1"/>
  <c r="AB714" i="1"/>
  <c r="AB718" i="1"/>
  <c r="AB121" i="1"/>
  <c r="V787" i="1"/>
  <c r="AB746" i="1"/>
  <c r="V790" i="1"/>
  <c r="S844" i="1"/>
  <c r="AB52" i="1"/>
  <c r="AB15" i="1"/>
  <c r="AB215" i="1"/>
  <c r="AB231" i="1"/>
  <c r="AB7" i="1"/>
  <c r="A7" i="1" s="1"/>
  <c r="AB512" i="1"/>
  <c r="AB240" i="1"/>
  <c r="AB736" i="1"/>
  <c r="AB719" i="1"/>
  <c r="AB765" i="1"/>
  <c r="A760" i="1" s="1"/>
  <c r="AB330" i="1"/>
  <c r="AB730" i="1"/>
  <c r="X658" i="1"/>
  <c r="AB738" i="1"/>
  <c r="V793" i="1"/>
  <c r="AB707" i="1"/>
  <c r="AB701" i="1"/>
  <c r="AB504" i="1"/>
  <c r="AB492" i="1"/>
  <c r="V800" i="1"/>
  <c r="AB83" i="1"/>
  <c r="AB488" i="1"/>
  <c r="AB253" i="1"/>
  <c r="AB811" i="1"/>
  <c r="AB716" i="1"/>
  <c r="AB704" i="1"/>
  <c r="AB768" i="1"/>
  <c r="V797" i="1"/>
  <c r="AB715" i="1"/>
  <c r="AB709" i="1"/>
  <c r="V804" i="1"/>
  <c r="AB490" i="1"/>
  <c r="AB536" i="1"/>
  <c r="AB236" i="1"/>
  <c r="AB232" i="1"/>
  <c r="AB247" i="1"/>
  <c r="AB410" i="1"/>
  <c r="AB671" i="1"/>
  <c r="AB174" i="1"/>
  <c r="AB259" i="1"/>
  <c r="AB752" i="1"/>
  <c r="AB726" i="1"/>
  <c r="AB355" i="1"/>
  <c r="X659" i="1"/>
  <c r="X661" i="1"/>
  <c r="AB483" i="1"/>
  <c r="AB499" i="1"/>
  <c r="AB515" i="1"/>
  <c r="AB539" i="1"/>
  <c r="AB538" i="1"/>
  <c r="AB214" i="1"/>
  <c r="AB683" i="1"/>
  <c r="AB703" i="1"/>
  <c r="AB668" i="1"/>
  <c r="A668" i="1" s="1"/>
  <c r="AB681" i="1"/>
  <c r="V798" i="1"/>
  <c r="V788" i="1"/>
  <c r="X649" i="1"/>
  <c r="C921" i="1"/>
  <c r="AB506" i="1"/>
  <c r="AB228" i="1"/>
  <c r="AB744" i="1"/>
  <c r="AB700" i="1"/>
  <c r="AB753" i="1"/>
  <c r="AB673" i="1"/>
  <c r="AB156" i="1"/>
  <c r="V789" i="1"/>
  <c r="AB699" i="1"/>
  <c r="AB693" i="1"/>
  <c r="AB656" i="1"/>
  <c r="A656" i="1" s="1"/>
  <c r="X657" i="1"/>
  <c r="AB3" i="1"/>
  <c r="A3" i="1" s="1"/>
  <c r="AB498" i="1"/>
  <c r="AB206" i="1"/>
  <c r="AB251" i="1"/>
  <c r="AB255" i="1"/>
  <c r="AB712" i="1"/>
  <c r="AB689" i="1"/>
  <c r="AB298" i="1"/>
  <c r="AB670" i="1"/>
  <c r="AB708" i="1"/>
  <c r="AB403" i="1"/>
  <c r="AB91" i="1"/>
  <c r="AB182" i="1"/>
  <c r="V792" i="1"/>
  <c r="AB711" i="1"/>
  <c r="AB705" i="1"/>
  <c r="V803" i="1"/>
  <c r="X660" i="1"/>
  <c r="AB207" i="1"/>
  <c r="AB223" i="1"/>
  <c r="AB239" i="1"/>
  <c r="AB456" i="1"/>
  <c r="V799" i="1"/>
  <c r="AB212" i="1"/>
  <c r="AB238" i="1"/>
  <c r="AB696" i="1"/>
  <c r="A696" i="1" s="1"/>
  <c r="AB706" i="1"/>
  <c r="AB747" i="1"/>
  <c r="AB669" i="1"/>
  <c r="A669" i="1" s="1"/>
  <c r="AB713" i="1"/>
  <c r="AB745" i="1"/>
  <c r="AB724" i="1"/>
  <c r="A724" i="1" s="1"/>
  <c r="AB666" i="1"/>
  <c r="AB748" i="1"/>
  <c r="AB737" i="1"/>
  <c r="AB346" i="1"/>
  <c r="V802" i="1"/>
  <c r="AB455" i="1"/>
  <c r="AB754" i="1"/>
  <c r="AB749" i="1"/>
  <c r="AB667" i="1"/>
  <c r="AB710" i="1"/>
  <c r="AB164" i="1"/>
  <c r="AB767" i="1"/>
  <c r="AB750" i="1"/>
  <c r="V806" i="1"/>
  <c r="AB680" i="1"/>
  <c r="AB482" i="1"/>
  <c r="AB510" i="1"/>
  <c r="AB216" i="1"/>
  <c r="AB208" i="1"/>
  <c r="AB734" i="1"/>
  <c r="AB674" i="1"/>
  <c r="AB769" i="1"/>
  <c r="AB411" i="1"/>
  <c r="AB678" i="1"/>
  <c r="AB99" i="1"/>
  <c r="AB323" i="1"/>
  <c r="V794" i="1"/>
  <c r="AB130" i="1"/>
  <c r="AB695" i="1"/>
  <c r="AB685" i="1"/>
  <c r="X655" i="1"/>
  <c r="AB491" i="1"/>
  <c r="AB507" i="1"/>
  <c r="AB496" i="1"/>
  <c r="AB230" i="1"/>
  <c r="AB679" i="1"/>
  <c r="AB692" i="1"/>
  <c r="AB702" i="1"/>
  <c r="V791" i="1"/>
  <c r="V805" i="1"/>
  <c r="AB672" i="1"/>
  <c r="AB770" i="1"/>
  <c r="AB694" i="1"/>
  <c r="AB113" i="1"/>
  <c r="AB729" i="1"/>
  <c r="AB717" i="1"/>
  <c r="X650" i="1"/>
  <c r="AB220" i="1"/>
  <c r="AB697" i="1"/>
  <c r="X654" i="1"/>
  <c r="AB698" i="1"/>
  <c r="V796" i="1"/>
  <c r="AB735" i="1"/>
  <c r="AB731" i="1"/>
  <c r="X648" i="1"/>
  <c r="AB733" i="1"/>
  <c r="X662" i="1"/>
  <c r="AB187" i="1"/>
  <c r="K102" i="7"/>
  <c r="K104" i="7" s="1"/>
  <c r="AB481" i="1"/>
  <c r="D908" i="1" l="1"/>
  <c r="D916" i="1" s="1"/>
  <c r="G31" i="36"/>
  <c r="I28" i="36"/>
  <c r="C930" i="1"/>
  <c r="C923" i="1"/>
  <c r="AA608" i="1"/>
  <c r="A147" i="1"/>
  <c r="A741" i="1"/>
  <c r="A48" i="1"/>
  <c r="A142" i="1"/>
  <c r="A143" i="1"/>
  <c r="A393" i="1"/>
  <c r="A522" i="1"/>
  <c r="A281" i="1"/>
  <c r="A144" i="1"/>
  <c r="A41" i="1"/>
  <c r="A523" i="1"/>
  <c r="A371" i="1"/>
  <c r="A526" i="1"/>
  <c r="A263" i="1"/>
  <c r="A43" i="1"/>
  <c r="A282" i="1"/>
  <c r="A520" i="1"/>
  <c r="A146" i="1"/>
  <c r="A524" i="1"/>
  <c r="A389" i="1"/>
  <c r="A440" i="1"/>
  <c r="A377" i="1"/>
  <c r="A380" i="1"/>
  <c r="A45" i="1"/>
  <c r="A40" i="1"/>
  <c r="A276" i="1"/>
  <c r="A373" i="1"/>
  <c r="A285" i="1"/>
  <c r="A284" i="1"/>
  <c r="A390" i="1"/>
  <c r="A375" i="1"/>
  <c r="A682" i="1"/>
  <c r="A271" i="1"/>
  <c r="A530" i="1"/>
  <c r="A394" i="1"/>
  <c r="A278" i="1"/>
  <c r="A386" i="1"/>
  <c r="A387" i="1"/>
  <c r="A379" i="1"/>
  <c r="A267" i="1"/>
  <c r="A531" i="1"/>
  <c r="A37" i="1"/>
  <c r="A441" i="1"/>
  <c r="A145" i="1"/>
  <c r="A525" i="1"/>
  <c r="A47" i="1"/>
  <c r="A528" i="1"/>
  <c r="A265" i="1"/>
  <c r="A395" i="1"/>
  <c r="A141" i="1"/>
  <c r="A391" i="1"/>
  <c r="A44" i="1"/>
  <c r="A529" i="1"/>
  <c r="A449" i="1"/>
  <c r="A382" i="1"/>
  <c r="A388" i="1"/>
  <c r="A384" i="1"/>
  <c r="A370" i="1"/>
  <c r="A369" i="1"/>
  <c r="A264" i="1"/>
  <c r="A438" i="1"/>
  <c r="A392" i="1"/>
  <c r="A437" i="1"/>
  <c r="A383" i="1"/>
  <c r="A38" i="1"/>
  <c r="A138" i="1"/>
  <c r="A447" i="1"/>
  <c r="A274" i="1"/>
  <c r="A442" i="1"/>
  <c r="A374" i="1"/>
  <c r="A266" i="1"/>
  <c r="A378" i="1"/>
  <c r="A270" i="1"/>
  <c r="A268" i="1"/>
  <c r="A396" i="1"/>
  <c r="A280" i="1"/>
  <c r="A444" i="1"/>
  <c r="A272" i="1"/>
  <c r="A553" i="1"/>
  <c r="S775" i="1"/>
  <c r="AA775" i="1" s="1"/>
  <c r="A261" i="1"/>
  <c r="AB772" i="1"/>
  <c r="AA771" i="1"/>
  <c r="AB771" i="1" s="1"/>
  <c r="S845" i="1"/>
  <c r="A216" i="1"/>
  <c r="A737" i="1"/>
  <c r="A506" i="1"/>
  <c r="A753" i="1"/>
  <c r="A539" i="1"/>
  <c r="A752" i="1"/>
  <c r="A536" i="1"/>
  <c r="A716" i="1"/>
  <c r="A701" i="1"/>
  <c r="A719" i="1"/>
  <c r="A52" i="1"/>
  <c r="A728" i="1"/>
  <c r="A401" i="1"/>
  <c r="A419" i="1"/>
  <c r="A333" i="1"/>
  <c r="A118" i="1"/>
  <c r="A319" i="1"/>
  <c r="A180" i="1"/>
  <c r="A102" i="1"/>
  <c r="A541" i="1"/>
  <c r="A518" i="1"/>
  <c r="A311" i="1"/>
  <c r="A171" i="1"/>
  <c r="A10" i="1"/>
  <c r="A12" i="1"/>
  <c r="A497" i="1"/>
  <c r="A435" i="1"/>
  <c r="A189" i="1"/>
  <c r="A202" i="1"/>
  <c r="A19" i="1"/>
  <c r="A335" i="1"/>
  <c r="A249" i="1"/>
  <c r="A116" i="1"/>
  <c r="A235" i="1"/>
  <c r="A30" i="1"/>
  <c r="A126" i="1"/>
  <c r="A405" i="1"/>
  <c r="A327" i="1"/>
  <c r="A361" i="1"/>
  <c r="A79" i="1"/>
  <c r="A600" i="1"/>
  <c r="A706" i="1"/>
  <c r="A699" i="1"/>
  <c r="A410" i="1"/>
  <c r="A715" i="1"/>
  <c r="A411" i="1"/>
  <c r="A749" i="1"/>
  <c r="A538" i="1"/>
  <c r="A731" i="1"/>
  <c r="A717" i="1"/>
  <c r="A702" i="1"/>
  <c r="A769" i="1"/>
  <c r="A754" i="1"/>
  <c r="A705" i="1"/>
  <c r="A298" i="1"/>
  <c r="A735" i="1"/>
  <c r="A729" i="1"/>
  <c r="A692" i="1"/>
  <c r="A695" i="1"/>
  <c r="A674" i="1"/>
  <c r="A455" i="1"/>
  <c r="A713" i="1"/>
  <c r="A456" i="1"/>
  <c r="A711" i="1"/>
  <c r="A689" i="1"/>
  <c r="A700" i="1"/>
  <c r="A515" i="1"/>
  <c r="A259" i="1"/>
  <c r="A490" i="1"/>
  <c r="A707" i="1"/>
  <c r="A736" i="1"/>
  <c r="A222" i="1"/>
  <c r="A86" i="1"/>
  <c r="A337" i="1"/>
  <c r="A291" i="1"/>
  <c r="A242" i="1"/>
  <c r="A115" i="1"/>
  <c r="A227" i="1"/>
  <c r="A363" i="1"/>
  <c r="A59" i="1"/>
  <c r="A501" i="1"/>
  <c r="A414" i="1"/>
  <c r="A252" i="1"/>
  <c r="A457" i="1"/>
  <c r="A169" i="1"/>
  <c r="A183" i="1"/>
  <c r="A417" i="1"/>
  <c r="A339" i="1"/>
  <c r="A458" i="1"/>
  <c r="A237" i="1"/>
  <c r="A210" i="1"/>
  <c r="A303" i="1"/>
  <c r="A342" i="1"/>
  <c r="A184" i="1"/>
  <c r="A77" i="1"/>
  <c r="A157" i="1"/>
  <c r="A93" i="1"/>
  <c r="A341" i="1"/>
  <c r="A203" i="1"/>
  <c r="A78" i="1"/>
  <c r="A294" i="1"/>
  <c r="A680" i="1"/>
  <c r="A726" i="1"/>
  <c r="A236" i="1"/>
  <c r="A504" i="1"/>
  <c r="A765" i="1"/>
  <c r="A714" i="1"/>
  <c r="A745" i="1"/>
  <c r="A113" i="1"/>
  <c r="A679" i="1"/>
  <c r="A130" i="1"/>
  <c r="A734" i="1"/>
  <c r="A750" i="1"/>
  <c r="A239" i="1"/>
  <c r="A712" i="1"/>
  <c r="A744" i="1"/>
  <c r="A681" i="1"/>
  <c r="A499" i="1"/>
  <c r="A174" i="1"/>
  <c r="A253" i="1"/>
  <c r="A240" i="1"/>
  <c r="A224" i="1"/>
  <c r="A105" i="1"/>
  <c r="A305" i="1"/>
  <c r="A199" i="1"/>
  <c r="A166" i="1"/>
  <c r="A514" i="1"/>
  <c r="A18" i="1"/>
  <c r="A168" i="1"/>
  <c r="A421" i="1"/>
  <c r="A350" i="1"/>
  <c r="A219" i="1"/>
  <c r="A431" i="1"/>
  <c r="A124" i="1"/>
  <c r="A151" i="1"/>
  <c r="A353" i="1"/>
  <c r="A307" i="1"/>
  <c r="A209" i="1"/>
  <c r="A338" i="1"/>
  <c r="A516" i="1"/>
  <c r="A243" i="1"/>
  <c r="A84" i="1"/>
  <c r="A129" i="1"/>
  <c r="A31" i="1"/>
  <c r="A112" i="1"/>
  <c r="A33" i="1"/>
  <c r="A309" i="1"/>
  <c r="A192" i="1"/>
  <c r="A95" i="1"/>
  <c r="A296" i="1"/>
  <c r="A698" i="1"/>
  <c r="A694" i="1"/>
  <c r="A230" i="1"/>
  <c r="A208" i="1"/>
  <c r="A767" i="1"/>
  <c r="A346" i="1"/>
  <c r="A747" i="1"/>
  <c r="A223" i="1"/>
  <c r="A182" i="1"/>
  <c r="A255" i="1"/>
  <c r="A693" i="1"/>
  <c r="A228" i="1"/>
  <c r="A483" i="1"/>
  <c r="A671" i="1"/>
  <c r="A709" i="1"/>
  <c r="A488" i="1"/>
  <c r="A738" i="1"/>
  <c r="A512" i="1"/>
  <c r="A746" i="1"/>
  <c r="A486" i="1"/>
  <c r="A167" i="1"/>
  <c r="A246" i="1"/>
  <c r="A188" i="1"/>
  <c r="A163" i="1"/>
  <c r="A509" i="1"/>
  <c r="A360" i="1"/>
  <c r="A434" i="1"/>
  <c r="A76" i="1"/>
  <c r="A357" i="1"/>
  <c r="A318" i="1"/>
  <c r="A542" i="1"/>
  <c r="A54" i="1"/>
  <c r="A125" i="1"/>
  <c r="A106" i="1"/>
  <c r="A321" i="1"/>
  <c r="A248" i="1"/>
  <c r="A158" i="1"/>
  <c r="A413" i="1"/>
  <c r="A459" i="1"/>
  <c r="A179" i="1"/>
  <c r="A97" i="1"/>
  <c r="A365" i="1"/>
  <c r="A160" i="1"/>
  <c r="A152" i="1"/>
  <c r="A250" i="1"/>
  <c r="A304" i="1"/>
  <c r="A310" i="1"/>
  <c r="A606" i="1"/>
  <c r="A598" i="1"/>
  <c r="A323" i="1"/>
  <c r="A251" i="1"/>
  <c r="A496" i="1"/>
  <c r="A207" i="1"/>
  <c r="A676" i="1"/>
  <c r="A544" i="1"/>
  <c r="A213" i="1"/>
  <c r="A428" i="1"/>
  <c r="A170" i="1"/>
  <c r="A422" i="1"/>
  <c r="A204" i="1"/>
  <c r="A26" i="1"/>
  <c r="A16" i="1"/>
  <c r="A325" i="1"/>
  <c r="A226" i="1"/>
  <c r="A416" i="1"/>
  <c r="A354" i="1"/>
  <c r="A23" i="1"/>
  <c r="A58" i="1"/>
  <c r="A412" i="1"/>
  <c r="A358" i="1"/>
  <c r="A21" i="1"/>
  <c r="A317" i="1"/>
  <c r="A344" i="1"/>
  <c r="A114" i="1"/>
  <c r="A50" i="1"/>
  <c r="A153" i="1"/>
  <c r="A11" i="1"/>
  <c r="A487" i="1"/>
  <c r="A217" i="1"/>
  <c r="A17" i="1"/>
  <c r="A453" i="1"/>
  <c r="A672" i="1"/>
  <c r="A507" i="1"/>
  <c r="A99" i="1"/>
  <c r="A510" i="1"/>
  <c r="A710" i="1"/>
  <c r="A748" i="1"/>
  <c r="A403" i="1"/>
  <c r="A206" i="1"/>
  <c r="A683" i="1"/>
  <c r="A247" i="1"/>
  <c r="A730" i="1"/>
  <c r="A231" i="1"/>
  <c r="A121" i="1"/>
  <c r="A190" i="1"/>
  <c r="A364" i="1"/>
  <c r="A331" i="1"/>
  <c r="A326" i="1"/>
  <c r="A432" i="1"/>
  <c r="A543" i="1"/>
  <c r="A293" i="1"/>
  <c r="A452" i="1"/>
  <c r="A352" i="1"/>
  <c r="A162" i="1"/>
  <c r="A13" i="1"/>
  <c r="A229" i="1"/>
  <c r="A348" i="1"/>
  <c r="A315" i="1"/>
  <c r="A225" i="1"/>
  <c r="A312" i="1"/>
  <c r="A119" i="1"/>
  <c r="A135" i="1"/>
  <c r="A256" i="1"/>
  <c r="A109" i="1"/>
  <c r="A334" i="1"/>
  <c r="A51" i="1"/>
  <c r="A408" i="1"/>
  <c r="A599" i="1"/>
  <c r="A733" i="1"/>
  <c r="A220" i="1"/>
  <c r="A491" i="1"/>
  <c r="A678" i="1"/>
  <c r="A482" i="1"/>
  <c r="A238" i="1"/>
  <c r="A708" i="1"/>
  <c r="A498" i="1"/>
  <c r="A156" i="1"/>
  <c r="A214" i="1"/>
  <c r="A355" i="1"/>
  <c r="A232" i="1"/>
  <c r="A768" i="1"/>
  <c r="A492" i="1"/>
  <c r="A330" i="1"/>
  <c r="A215" i="1"/>
  <c r="A718" i="1"/>
  <c r="A513" i="1"/>
  <c r="A426" i="1"/>
  <c r="A300" i="1"/>
  <c r="A181" i="1"/>
  <c r="A415" i="1"/>
  <c r="A200" i="1"/>
  <c r="A451" i="1"/>
  <c r="A503" i="1"/>
  <c r="A233" i="1"/>
  <c r="A407" i="1"/>
  <c r="A320" i="1"/>
  <c r="A604" i="1"/>
  <c r="A111" i="1"/>
  <c r="A197" i="1"/>
  <c r="A316" i="1"/>
  <c r="A691" i="1"/>
  <c r="A218" i="1"/>
  <c r="A460" i="1"/>
  <c r="A322" i="1"/>
  <c r="A324" i="1"/>
  <c r="A92" i="1"/>
  <c r="A485" i="1"/>
  <c r="A302" i="1"/>
  <c r="A89" i="1"/>
  <c r="A128" i="1"/>
  <c r="A770" i="1"/>
  <c r="A164" i="1"/>
  <c r="A91" i="1"/>
  <c r="A703" i="1"/>
  <c r="A83" i="1"/>
  <c r="A212" i="1"/>
  <c r="A673" i="1"/>
  <c r="A704" i="1"/>
  <c r="A15" i="1"/>
  <c r="A433" i="1"/>
  <c r="A362" i="1"/>
  <c r="A173" i="1"/>
  <c r="A35" i="1"/>
  <c r="A351" i="1"/>
  <c r="A301" i="1"/>
  <c r="A103" i="1"/>
  <c r="A532" i="1"/>
  <c r="A201" i="1"/>
  <c r="A343" i="1"/>
  <c r="A196" i="1"/>
  <c r="A55" i="1"/>
  <c r="A57" i="1"/>
  <c r="A537" i="1"/>
  <c r="A314" i="1"/>
  <c r="A257" i="1"/>
  <c r="A356" i="1"/>
  <c r="A120" i="1"/>
  <c r="A131" i="1"/>
  <c r="A161" i="1"/>
  <c r="A461" i="1"/>
  <c r="A90" i="1"/>
  <c r="A32" i="1"/>
  <c r="A450" i="1"/>
  <c r="A195" i="1"/>
  <c r="A245" i="1"/>
  <c r="A430" i="1"/>
  <c r="A603" i="1"/>
  <c r="A697" i="1"/>
  <c r="A667" i="1"/>
  <c r="A610" i="1"/>
  <c r="A670" i="1"/>
  <c r="A577" i="1"/>
  <c r="A566" i="1"/>
  <c r="A811" i="1"/>
  <c r="AB663" i="1"/>
  <c r="A663" i="1" s="1"/>
  <c r="A623" i="1"/>
  <c r="A597" i="1"/>
  <c r="A583" i="1"/>
  <c r="A587" i="1"/>
  <c r="A588" i="1"/>
  <c r="A592" i="1"/>
  <c r="A595" i="1"/>
  <c r="A585" i="1"/>
  <c r="A590" i="1"/>
  <c r="A562" i="1"/>
  <c r="A556" i="1"/>
  <c r="A187" i="1"/>
  <c r="A399" i="1"/>
  <c r="A481" i="1"/>
  <c r="A666" i="1"/>
  <c r="A664" i="1"/>
  <c r="A685" i="1"/>
  <c r="A813" i="1"/>
  <c r="AA774" i="1"/>
  <c r="Z847" i="1"/>
  <c r="F778" i="1"/>
  <c r="AB662" i="1"/>
  <c r="X796" i="1"/>
  <c r="AB654" i="1"/>
  <c r="X791" i="1"/>
  <c r="AB655" i="1"/>
  <c r="X794" i="1"/>
  <c r="X799" i="1"/>
  <c r="AB660" i="1"/>
  <c r="AB649" i="1"/>
  <c r="AB661" i="1"/>
  <c r="X800" i="1"/>
  <c r="AB658" i="1"/>
  <c r="X790" i="1"/>
  <c r="X805" i="1"/>
  <c r="X802" i="1"/>
  <c r="X803" i="1"/>
  <c r="X789" i="1"/>
  <c r="X798" i="1"/>
  <c r="AB659" i="1"/>
  <c r="X797" i="1"/>
  <c r="X793" i="1"/>
  <c r="AB648" i="1"/>
  <c r="AB650" i="1"/>
  <c r="W835" i="1"/>
  <c r="X792" i="1"/>
  <c r="X788" i="1"/>
  <c r="X804" i="1"/>
  <c r="X787" i="1"/>
  <c r="X806" i="1"/>
  <c r="AB657" i="1"/>
  <c r="I31" i="36" l="1"/>
  <c r="I33" i="36" s="1"/>
  <c r="W640" i="1" s="1"/>
  <c r="G33" i="36"/>
  <c r="Y607" i="1"/>
  <c r="AB607" i="1" s="1"/>
  <c r="X845" i="1"/>
  <c r="AB845" i="1" s="1"/>
  <c r="A845" i="1" s="1"/>
  <c r="X835" i="1"/>
  <c r="AB835" i="1" s="1"/>
  <c r="W836" i="1"/>
  <c r="W912" i="1"/>
  <c r="A772" i="1"/>
  <c r="A771" i="1"/>
  <c r="AB774" i="1"/>
  <c r="A657" i="1"/>
  <c r="A658" i="1"/>
  <c r="A661" i="1"/>
  <c r="A654" i="1"/>
  <c r="A650" i="1"/>
  <c r="A649" i="1"/>
  <c r="A662" i="1"/>
  <c r="A660" i="1"/>
  <c r="A659" i="1"/>
  <c r="A655" i="1"/>
  <c r="A557" i="1"/>
  <c r="A551" i="1"/>
  <c r="A778" i="1"/>
  <c r="A648" i="1"/>
  <c r="A647" i="1"/>
  <c r="Z848" i="1"/>
  <c r="Y608" i="1"/>
  <c r="AB806" i="1"/>
  <c r="AB788" i="1"/>
  <c r="AB798" i="1"/>
  <c r="AB803" i="1"/>
  <c r="AB791" i="1"/>
  <c r="AB802" i="1"/>
  <c r="AB775" i="1"/>
  <c r="F813" i="1"/>
  <c r="AB787" i="1"/>
  <c r="W840" i="1"/>
  <c r="AB804" i="1"/>
  <c r="AB793" i="1"/>
  <c r="AB800" i="1"/>
  <c r="AB792" i="1"/>
  <c r="AB797" i="1"/>
  <c r="AB789" i="1"/>
  <c r="AB805" i="1"/>
  <c r="F779" i="1"/>
  <c r="AB790" i="1"/>
  <c r="AB799" i="1"/>
  <c r="AB794" i="1"/>
  <c r="AB796" i="1"/>
  <c r="Z906" i="1" l="1"/>
  <c r="A779" i="1"/>
  <c r="A607" i="1"/>
  <c r="A835" i="1"/>
  <c r="X836" i="1"/>
  <c r="AB836" i="1" s="1"/>
  <c r="X840" i="1"/>
  <c r="W839" i="1"/>
  <c r="A800" i="1"/>
  <c r="A793" i="1"/>
  <c r="A802" i="1"/>
  <c r="A791" i="1"/>
  <c r="A790" i="1"/>
  <c r="A805" i="1"/>
  <c r="A803" i="1"/>
  <c r="A797" i="1"/>
  <c r="A799" i="1"/>
  <c r="A775" i="1"/>
  <c r="A804" i="1"/>
  <c r="A806" i="1"/>
  <c r="A789" i="1"/>
  <c r="A798" i="1"/>
  <c r="A796" i="1"/>
  <c r="A794" i="1"/>
  <c r="A774" i="1"/>
  <c r="A787" i="1"/>
  <c r="A788" i="1"/>
  <c r="A684" i="1"/>
  <c r="A786" i="1"/>
  <c r="A792" i="1"/>
  <c r="Z850" i="1"/>
  <c r="AB608" i="1"/>
  <c r="A581" i="1" s="1"/>
  <c r="F780" i="1"/>
  <c r="A777" i="1" l="1"/>
  <c r="A608" i="1"/>
  <c r="AB840" i="1"/>
  <c r="X839" i="1"/>
  <c r="AB839" i="1" s="1"/>
  <c r="A839" i="1" s="1"/>
  <c r="A780" i="1"/>
  <c r="A836" i="1"/>
  <c r="Z852" i="1"/>
  <c r="Z853" i="1" s="1"/>
  <c r="A840" i="1" l="1"/>
  <c r="X844" i="1"/>
  <c r="X640" i="1" l="1"/>
  <c r="AB844" i="1"/>
  <c r="Z854" i="1"/>
  <c r="AB640" i="1" l="1"/>
  <c r="A640" i="1" s="1"/>
  <c r="A844" i="1"/>
  <c r="A639" i="1" l="1"/>
  <c r="A823" i="1"/>
  <c r="Y847" i="1" l="1"/>
  <c r="Y848" i="1" l="1"/>
  <c r="Y850" i="1" l="1"/>
  <c r="Y852" i="1" s="1"/>
  <c r="Y853" i="1" s="1"/>
  <c r="Y906" i="1"/>
  <c r="AB906" i="1" l="1"/>
  <c r="Y854" i="1"/>
  <c r="S903" i="1" l="1"/>
  <c r="Y903" i="1" l="1"/>
  <c r="Y902" i="1"/>
  <c r="AB903" i="1" l="1"/>
  <c r="Y922" i="1"/>
  <c r="AB922" i="1" s="1"/>
  <c r="AB902" i="1"/>
  <c r="Y907" i="1" l="1"/>
  <c r="Y908" i="1" s="1"/>
  <c r="Y924" i="1" l="1"/>
  <c r="Y923" i="1" s="1"/>
  <c r="Y916" i="1"/>
  <c r="Z907" i="1"/>
  <c r="Z908" i="1" s="1"/>
  <c r="Z916" i="1" l="1"/>
  <c r="A855" i="1"/>
  <c r="A901" i="1"/>
  <c r="A895" i="1"/>
  <c r="Z924" i="1" l="1"/>
  <c r="Z923" i="1" s="1"/>
  <c r="X912" i="1"/>
  <c r="AB912" i="1" l="1"/>
  <c r="A912" i="1" s="1"/>
  <c r="C920" i="1"/>
  <c r="F652" i="1" s="1"/>
  <c r="S843" i="1"/>
  <c r="X843" i="1" s="1"/>
  <c r="AB843" i="1" s="1"/>
  <c r="X560" i="1"/>
  <c r="W820" i="1" s="1"/>
  <c r="X820" i="1" s="1"/>
  <c r="AB820" i="1" s="1"/>
  <c r="A820" i="1" s="1"/>
  <c r="V848" i="1"/>
  <c r="V853" i="1" s="1"/>
  <c r="V908" i="1" s="1"/>
  <c r="F653" i="1" l="1"/>
  <c r="F651" i="1"/>
  <c r="S821" i="1"/>
  <c r="F657" i="1"/>
  <c r="F655" i="1"/>
  <c r="F650" i="1"/>
  <c r="F649" i="1"/>
  <c r="AB560" i="1"/>
  <c r="W784" i="1"/>
  <c r="AA784" i="1" s="1"/>
  <c r="W785" i="1"/>
  <c r="AA785" i="1" s="1"/>
  <c r="AB785" i="1" s="1"/>
  <c r="A785" i="1" s="1"/>
  <c r="W817" i="1"/>
  <c r="X817" i="1" s="1"/>
  <c r="AB817" i="1" s="1"/>
  <c r="A817" i="1" s="1"/>
  <c r="A841" i="1"/>
  <c r="A843" i="1"/>
  <c r="A842" i="1"/>
  <c r="C922" i="1"/>
  <c r="F648" i="1"/>
  <c r="G778" i="1" l="1"/>
  <c r="G779" i="1"/>
  <c r="G780" i="1"/>
  <c r="W834" i="1"/>
  <c r="X834" i="1" s="1"/>
  <c r="W838" i="1" s="1"/>
  <c r="X838" i="1" s="1"/>
  <c r="W911" i="1"/>
  <c r="X911" i="1" s="1"/>
  <c r="A560" i="1"/>
  <c r="A558" i="1"/>
  <c r="F814" i="1"/>
  <c r="AA847" i="1"/>
  <c r="AA848" i="1" s="1"/>
  <c r="AB784" i="1"/>
  <c r="C924" i="1"/>
  <c r="E933" i="1"/>
  <c r="D933" i="1"/>
  <c r="D921" i="1"/>
  <c r="E814" i="1"/>
  <c r="W837" i="1"/>
  <c r="X837" i="1" s="1"/>
  <c r="AB837" i="1" s="1"/>
  <c r="A837" i="1" s="1"/>
  <c r="AB911" i="1" l="1"/>
  <c r="D923" i="1"/>
  <c r="C931" i="1"/>
  <c r="AB834" i="1"/>
  <c r="A834" i="1" s="1"/>
  <c r="W913" i="1"/>
  <c r="X913" i="1" s="1"/>
  <c r="W914" i="1"/>
  <c r="X914" i="1" s="1"/>
  <c r="W915" i="1"/>
  <c r="X915" i="1" s="1"/>
  <c r="AA904" i="1"/>
  <c r="AB904" i="1" s="1"/>
  <c r="AA850" i="1"/>
  <c r="AA852" i="1" s="1"/>
  <c r="E815" i="1"/>
  <c r="A815" i="1" s="1"/>
  <c r="A814" i="1"/>
  <c r="A812" i="1"/>
  <c r="E816" i="1"/>
  <c r="A816" i="1" s="1"/>
  <c r="A784" i="1"/>
  <c r="A783" i="1"/>
  <c r="X920" i="1"/>
  <c r="AA920" i="1" s="1"/>
  <c r="F815" i="1"/>
  <c r="D935" i="1"/>
  <c r="D937" i="1" s="1"/>
  <c r="D934" i="1"/>
  <c r="D936" i="1" s="1"/>
  <c r="AB838" i="1"/>
  <c r="A838" i="1" s="1"/>
  <c r="X847" i="1"/>
  <c r="AB847" i="1" s="1"/>
  <c r="AA853" i="1" l="1"/>
  <c r="A911" i="1"/>
  <c r="AB848" i="1"/>
  <c r="V914" i="1"/>
  <c r="AB914" i="1"/>
  <c r="A914" i="1" s="1"/>
  <c r="AB913" i="1"/>
  <c r="A913" i="1" s="1"/>
  <c r="AB915" i="1"/>
  <c r="A915" i="1" s="1"/>
  <c r="V915" i="1"/>
  <c r="X848" i="1"/>
  <c r="A833" i="1"/>
  <c r="V916" i="1" l="1"/>
  <c r="X850" i="1"/>
  <c r="AB850" i="1" s="1"/>
  <c r="A910" i="1"/>
  <c r="A909" i="1" s="1"/>
  <c r="AA854" i="1"/>
  <c r="AA907" i="1"/>
  <c r="AA908" i="1" s="1"/>
  <c r="X852" i="1" l="1"/>
  <c r="AB852" i="1" s="1"/>
  <c r="AB853" i="1" s="1"/>
  <c r="AB854" i="1" s="1"/>
  <c r="AA924" i="1"/>
  <c r="AA923" i="1" s="1"/>
  <c r="AA916" i="1"/>
  <c r="X853" i="1" l="1"/>
  <c r="X854" i="1" s="1"/>
  <c r="X907" i="1" l="1"/>
  <c r="AB907" i="1" s="1"/>
  <c r="X908" i="1" l="1"/>
  <c r="AB908" i="1" l="1"/>
  <c r="X916" i="1"/>
  <c r="AB916" i="1" s="1"/>
  <c r="X924" i="1"/>
  <c r="AB924" i="1" l="1"/>
  <c r="AB923" i="1" s="1"/>
  <c r="X923" i="1"/>
  <c r="AB909" i="1"/>
  <c r="W934" i="1"/>
  <c r="W93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Tony Sciple</author>
  </authors>
  <commentList>
    <comment ref="I4" authorId="0" shapeId="0" xr:uid="{F7088A94-2306-4592-9427-7080D4E41F4A}">
      <text>
        <r>
          <rPr>
            <b/>
            <sz val="9"/>
            <color indexed="81"/>
            <rFont val="Tahoma"/>
            <family val="2"/>
          </rPr>
          <t>Temp Values - Please delete me</t>
        </r>
      </text>
    </comment>
  </commentList>
</comments>
</file>

<file path=xl/sharedStrings.xml><?xml version="1.0" encoding="utf-8"?>
<sst xmlns="http://schemas.openxmlformats.org/spreadsheetml/2006/main" count="6026" uniqueCount="799">
  <si>
    <t>STD</t>
  </si>
  <si>
    <t>XS</t>
  </si>
  <si>
    <t>3M</t>
  </si>
  <si>
    <t>6M</t>
  </si>
  <si>
    <t>ERECT ST RUN PIPE</t>
  </si>
  <si>
    <t>X</t>
  </si>
  <si>
    <t>HRS</t>
  </si>
  <si>
    <t>SIZE</t>
  </si>
  <si>
    <t>MHRS</t>
  </si>
  <si>
    <t>Total</t>
  </si>
  <si>
    <t>Superintendent</t>
  </si>
  <si>
    <t>TOTALS</t>
  </si>
  <si>
    <t>Multiplier</t>
  </si>
  <si>
    <t>-</t>
  </si>
  <si>
    <t>RTG</t>
  </si>
  <si>
    <t>SubTotal</t>
  </si>
  <si>
    <t>%</t>
  </si>
  <si>
    <t>$ / Hr</t>
  </si>
  <si>
    <t>Days Pay</t>
  </si>
  <si>
    <t>% Lab Add</t>
  </si>
  <si>
    <t>Y</t>
  </si>
  <si>
    <t>Months</t>
  </si>
  <si>
    <t>INDIRECTS</t>
  </si>
  <si>
    <t>Craft Foreman</t>
  </si>
  <si>
    <t>Welder I</t>
  </si>
  <si>
    <t>Pipefitter I</t>
  </si>
  <si>
    <t>Crane Operator I</t>
  </si>
  <si>
    <t>Rigger I</t>
  </si>
  <si>
    <t>Helper-MultiCraft</t>
  </si>
  <si>
    <t>Laborer/FireWat</t>
  </si>
  <si>
    <t>Carpenter I</t>
  </si>
  <si>
    <t>Carp II/CemtFin</t>
  </si>
  <si>
    <t>Iron Worker I</t>
  </si>
  <si>
    <t>Sr Proj Manager</t>
  </si>
  <si>
    <t>Proj Manager</t>
  </si>
  <si>
    <t>Construction Manager</t>
  </si>
  <si>
    <t>Gen Superintendent</t>
  </si>
  <si>
    <t>Assistant Superintendent</t>
  </si>
  <si>
    <t>Gen Foreman</t>
  </si>
  <si>
    <t>Subcontract Administrator I</t>
  </si>
  <si>
    <t>Expeditor</t>
  </si>
  <si>
    <t>Toolroom Attd</t>
  </si>
  <si>
    <t>Office Mgr</t>
  </si>
  <si>
    <t>Timekeeper/Office Asst</t>
  </si>
  <si>
    <t>Field Clerk</t>
  </si>
  <si>
    <t>Base</t>
  </si>
  <si>
    <t>Direct Labor</t>
  </si>
  <si>
    <t>Craft Designation</t>
  </si>
  <si>
    <t>Cat1</t>
  </si>
  <si>
    <t>Cat2</t>
  </si>
  <si>
    <t>CIVIL- Grout Work</t>
  </si>
  <si>
    <t>In/Out</t>
  </si>
  <si>
    <t>Cost</t>
  </si>
  <si>
    <t>Project Controls Average</t>
  </si>
  <si>
    <t>QA/QC Average</t>
  </si>
  <si>
    <t>Safety Average</t>
  </si>
  <si>
    <t>Purchasing Average</t>
  </si>
  <si>
    <t>Monthly</t>
  </si>
  <si>
    <t>PAINT</t>
  </si>
  <si>
    <t>% Add</t>
  </si>
  <si>
    <t>SCH</t>
  </si>
  <si>
    <t>E&amp;I</t>
  </si>
  <si>
    <t>WKS</t>
  </si>
  <si>
    <t>Gal/Shift</t>
  </si>
  <si>
    <t>Recom QTY</t>
  </si>
  <si>
    <t>M</t>
  </si>
  <si>
    <t>L</t>
  </si>
  <si>
    <t>S</t>
  </si>
  <si>
    <t>E</t>
  </si>
  <si>
    <t>N</t>
  </si>
  <si>
    <t>Work Days</t>
  </si>
  <si>
    <t>WORK DAYS</t>
  </si>
  <si>
    <t>In+Out</t>
  </si>
  <si>
    <t>ST&amp;C</t>
  </si>
  <si>
    <t>QA/QC Mgr</t>
  </si>
  <si>
    <t>Safety Mgr</t>
  </si>
  <si>
    <t>XXS</t>
  </si>
  <si>
    <t>% OF TOTAL</t>
  </si>
  <si>
    <t>BASE</t>
  </si>
  <si>
    <t>XS/3M</t>
  </si>
  <si>
    <t>CONTG+M.U.</t>
  </si>
  <si>
    <t>Support Craft</t>
  </si>
  <si>
    <t>Iron/Equip Setting, Avg Mix -&gt;</t>
  </si>
  <si>
    <t>Field Piping - Avg Mix -&gt;</t>
  </si>
  <si>
    <t>Estimated separately:</t>
  </si>
  <si>
    <t>T28</t>
  </si>
  <si>
    <t>T412</t>
  </si>
  <si>
    <t>T618</t>
  </si>
  <si>
    <t>T630</t>
  </si>
  <si>
    <t>T900</t>
  </si>
  <si>
    <t>CART-1648</t>
  </si>
  <si>
    <t>Painter</t>
  </si>
  <si>
    <t>CLIENT$ -&gt;</t>
  </si>
  <si>
    <t>Eq Colm</t>
  </si>
  <si>
    <t>Burdens</t>
  </si>
  <si>
    <t>Overtime</t>
  </si>
  <si>
    <t>Subtotal</t>
  </si>
  <si>
    <t>Eq Tax</t>
  </si>
  <si>
    <t>SubTotal2</t>
  </si>
  <si>
    <t>Item</t>
  </si>
  <si>
    <t>Direct:</t>
  </si>
  <si>
    <t>Effective Labor Markup w/ OT</t>
  </si>
  <si>
    <t>InDirect:</t>
  </si>
  <si>
    <t>RCI MECH MH SUMMARY (NO PAINT)</t>
  </si>
  <si>
    <t>Date</t>
  </si>
  <si>
    <t>Rev</t>
  </si>
  <si>
    <t>Amt</t>
  </si>
  <si>
    <t>Delta</t>
  </si>
  <si>
    <t>R0</t>
  </si>
  <si>
    <t>R1</t>
  </si>
  <si>
    <t>R2</t>
  </si>
  <si>
    <t>R3</t>
  </si>
  <si>
    <t>R4</t>
  </si>
  <si>
    <t>R5</t>
  </si>
  <si>
    <t>Week</t>
  </si>
  <si>
    <t>Day</t>
  </si>
  <si>
    <t>&lt; Than</t>
  </si>
  <si>
    <t>Basis</t>
  </si>
  <si>
    <t>na</t>
  </si>
  <si>
    <t>&gt;= Than</t>
  </si>
  <si>
    <t>NA</t>
  </si>
  <si>
    <t>Continuous other Ongoing Projects at the Jobsite</t>
  </si>
  <si>
    <t>Calculated Multiplier</t>
  </si>
  <si>
    <t>No</t>
  </si>
  <si>
    <t xml:space="preserve">Yes / No - Override for Jobs where Rentals are Expected to be </t>
  </si>
  <si>
    <t>Multiplier Used based on Overide Status</t>
  </si>
  <si>
    <t>Equip Rental Mult For Shorter than Month Duration</t>
  </si>
  <si>
    <t>Lookup</t>
  </si>
  <si>
    <t>Mult</t>
  </si>
  <si>
    <t>Mo Duration between</t>
  </si>
  <si>
    <t>Rate</t>
  </si>
  <si>
    <t>Month(*)</t>
  </si>
  <si>
    <t>(*) Most rental companies base their rental rates on a 28 Day Billing Cycle</t>
  </si>
  <si>
    <t>Matl</t>
  </si>
  <si>
    <t>SM</t>
  </si>
  <si>
    <t>ShopAmt</t>
  </si>
  <si>
    <t>MechAmt</t>
  </si>
  <si>
    <t>EstimLog Breakdown (By Cost Center)</t>
  </si>
  <si>
    <t>T&amp;M Breakdown (Move ST&amp;C to Labor)</t>
  </si>
  <si>
    <t>Check Rounding Delta-&gt;</t>
  </si>
  <si>
    <t>EI Amt</t>
  </si>
  <si>
    <t>ArchAmt</t>
  </si>
  <si>
    <t>SoftCraftAmt</t>
  </si>
  <si>
    <t>Shop</t>
  </si>
  <si>
    <t>Field</t>
  </si>
  <si>
    <t>Categ</t>
  </si>
  <si>
    <t>ShopPaintAmt</t>
  </si>
  <si>
    <t>Discp</t>
  </si>
  <si>
    <t>Pipe</t>
  </si>
  <si>
    <t>Dir</t>
  </si>
  <si>
    <t>Civ</t>
  </si>
  <si>
    <t>Demo</t>
  </si>
  <si>
    <t>ProcEq</t>
  </si>
  <si>
    <t>Supt</t>
  </si>
  <si>
    <t>Arch</t>
  </si>
  <si>
    <t>Elec</t>
  </si>
  <si>
    <t>Scaf</t>
  </si>
  <si>
    <t>FirePr</t>
  </si>
  <si>
    <t>Insul</t>
  </si>
  <si>
    <t>TracST</t>
  </si>
  <si>
    <t>TracET</t>
  </si>
  <si>
    <t>Paint</t>
  </si>
  <si>
    <t>Div</t>
  </si>
  <si>
    <t>MechFld</t>
  </si>
  <si>
    <t>ShopPaint</t>
  </si>
  <si>
    <t>ShopPipe</t>
  </si>
  <si>
    <t>ArchFld</t>
  </si>
  <si>
    <t>EIFld</t>
  </si>
  <si>
    <t>Grout</t>
  </si>
  <si>
    <t>Steel</t>
  </si>
  <si>
    <t>Varies</t>
  </si>
  <si>
    <t>Freight</t>
  </si>
  <si>
    <t>Trucking</t>
  </si>
  <si>
    <t>Pile</t>
  </si>
  <si>
    <t>FireBx</t>
  </si>
  <si>
    <t>SiteEst</t>
  </si>
  <si>
    <t>ConstrEq</t>
  </si>
  <si>
    <t>Fuel</t>
  </si>
  <si>
    <t>Engr</t>
  </si>
  <si>
    <t>HvyLift</t>
  </si>
  <si>
    <t>STC</t>
  </si>
  <si>
    <t>Indir</t>
  </si>
  <si>
    <t>Insp</t>
  </si>
  <si>
    <t>SafEq</t>
  </si>
  <si>
    <t>Training</t>
  </si>
  <si>
    <t>SPItem</t>
  </si>
  <si>
    <t>PSV</t>
  </si>
  <si>
    <t>Instr</t>
  </si>
  <si>
    <t>EIPanel</t>
  </si>
  <si>
    <t>EIBldg</t>
  </si>
  <si>
    <t>Controls</t>
  </si>
  <si>
    <t>SoftCr</t>
  </si>
  <si>
    <t>FldPaint</t>
  </si>
  <si>
    <t>EIConstr</t>
  </si>
  <si>
    <t>Tax</t>
  </si>
  <si>
    <t>ScafTax</t>
  </si>
  <si>
    <t>MatlTax</t>
  </si>
  <si>
    <t>LDAllow</t>
  </si>
  <si>
    <t>InDir</t>
  </si>
  <si>
    <t>MO</t>
  </si>
  <si>
    <t>SOFT CR MH</t>
  </si>
  <si>
    <t>ARCH MH</t>
  </si>
  <si>
    <t>EI MH</t>
  </si>
  <si>
    <t>SUB MH</t>
  </si>
  <si>
    <t>Check Rounding Delta</t>
  </si>
  <si>
    <t>Iron Worker Leadman</t>
  </si>
  <si>
    <t>Pipefitter III</t>
  </si>
  <si>
    <t>Iron Worker III</t>
  </si>
  <si>
    <t>Pipefitter Leadman</t>
  </si>
  <si>
    <t>Check For Missing Labor Class on Labor Amt:</t>
  </si>
  <si>
    <t>24-XXXX</t>
  </si>
  <si>
    <t>st&amp;c</t>
  </si>
  <si>
    <t>Pump Seal Tubing/Panel Install</t>
  </si>
  <si>
    <t>Hydro Testing - Field Labor</t>
  </si>
  <si>
    <t>Hydro Testing - Field Material</t>
  </si>
  <si>
    <t>Test Packages</t>
  </si>
  <si>
    <t>Cut, Fit &amp; Thrd Conn.</t>
  </si>
  <si>
    <t>Field Cut &amp; Bevel</t>
  </si>
  <si>
    <t>Cold Cuts</t>
  </si>
  <si>
    <t>Sp-Item</t>
  </si>
  <si>
    <t>Handl Inline Instr.</t>
  </si>
  <si>
    <t>Handling Loose Items</t>
  </si>
  <si>
    <t>Small Bore Allowance</t>
  </si>
  <si>
    <t>Handling Truck/Crane Mats</t>
  </si>
  <si>
    <t>Fresh Air</t>
  </si>
  <si>
    <t>Blinding</t>
  </si>
  <si>
    <t>Line Labels</t>
  </si>
  <si>
    <t>Erect/Dism. Cranes</t>
  </si>
  <si>
    <t>Red Line Drawings</t>
  </si>
  <si>
    <t>Freight - Contract</t>
  </si>
  <si>
    <t>Field Trucking (Labor Portion)</t>
  </si>
  <si>
    <t>Field Trucking (Equip/Fuel)</t>
  </si>
  <si>
    <t>Field Verification</t>
  </si>
  <si>
    <t>Oper. Qual. (Oq) Train.</t>
  </si>
  <si>
    <t>Operator Qualification (Oq) Hours</t>
  </si>
  <si>
    <t>Field Weld Rods (Pipe, Steel)</t>
  </si>
  <si>
    <t>Field Weld Gas (Pipe, Steel)</t>
  </si>
  <si>
    <t>Weld Proc.(Wps) / Pqr Develop</t>
  </si>
  <si>
    <t>Welder Testing / Qual. - Labor</t>
  </si>
  <si>
    <t>Welder Testing / Qual. - Lab Fee</t>
  </si>
  <si>
    <t>Field Pipe Sub Items</t>
  </si>
  <si>
    <t>X-Rays - Field</t>
  </si>
  <si>
    <t>Bolt Torquing</t>
  </si>
  <si>
    <t>Car-Ber Testing</t>
  </si>
  <si>
    <t>Cold Cuts (Sub)</t>
  </si>
  <si>
    <t>Hot-Tap</t>
  </si>
  <si>
    <t>Test Hot-Tap Valves</t>
  </si>
  <si>
    <t>Chemical Cleaning</t>
  </si>
  <si>
    <t>Subcontractors</t>
  </si>
  <si>
    <t>Shoes, Dl &amp; Hangers (Matl)</t>
  </si>
  <si>
    <t>Spring Supports</t>
  </si>
  <si>
    <t>Pipe Supt, Shoes, Dl, Hgr, Sp Items (Erect)</t>
  </si>
  <si>
    <t>Proc. Eq. In Plant Frgt</t>
  </si>
  <si>
    <t>Materials</t>
  </si>
  <si>
    <t>Pipe, Fittings, Flanges</t>
  </si>
  <si>
    <t>Valves</t>
  </si>
  <si>
    <t>Bolts &amp; Gaskets</t>
  </si>
  <si>
    <t>Pipe Supports</t>
  </si>
  <si>
    <t>Misc Items</t>
  </si>
  <si>
    <t>Process Equip-Install- Dir. Lab</t>
  </si>
  <si>
    <t>Vendor Steel Install- Dir. Lab</t>
  </si>
  <si>
    <t>Proc. Eq.-Intern - Sub</t>
  </si>
  <si>
    <t>Proc.Eq-Millwr. Sub</t>
  </si>
  <si>
    <t>Process Equip-Misc Matl</t>
  </si>
  <si>
    <t>Site Prep &amp; Civil</t>
  </si>
  <si>
    <t>Hydroexcavation</t>
  </si>
  <si>
    <t>Cem Grout Total</t>
  </si>
  <si>
    <t>Prep Fnd And Cem Grout</t>
  </si>
  <si>
    <t>Epoxy Grout Total</t>
  </si>
  <si>
    <t>Prep Fnd And Epoxy Grout Total</t>
  </si>
  <si>
    <t>Grout Testing</t>
  </si>
  <si>
    <t>Grout Manf Rep</t>
  </si>
  <si>
    <t>Iron Work</t>
  </si>
  <si>
    <t>Steel Fab / Fp (As Reqd)</t>
  </si>
  <si>
    <t>Structural Steel Erect</t>
  </si>
  <si>
    <t>Steel Drill Holes Into Exist</t>
  </si>
  <si>
    <t>Architectural</t>
  </si>
  <si>
    <t>Archtitectural Labor</t>
  </si>
  <si>
    <t>Archtitectural Material</t>
  </si>
  <si>
    <t>Process Equipment</t>
  </si>
  <si>
    <t>Piling</t>
  </si>
  <si>
    <t>Civil</t>
  </si>
  <si>
    <t>Electrical Grounding</t>
  </si>
  <si>
    <t>Paint - Field</t>
  </si>
  <si>
    <t>Paint-Field</t>
  </si>
  <si>
    <t>Scaffolding:</t>
  </si>
  <si>
    <t>Fire Boxes</t>
  </si>
  <si>
    <t>Fire Watch</t>
  </si>
  <si>
    <t>Flaggers</t>
  </si>
  <si>
    <t>Laydown Yard Labor</t>
  </si>
  <si>
    <t>Hole Watch</t>
  </si>
  <si>
    <t>Operator</t>
  </si>
  <si>
    <t>Fire Watch - Night</t>
  </si>
  <si>
    <t>Flaggers - Night</t>
  </si>
  <si>
    <t>Hole Watch - Night</t>
  </si>
  <si>
    <t>Operator - Night</t>
  </si>
  <si>
    <t>Lel Monitor - Night</t>
  </si>
  <si>
    <t>Craft Foreman - Nights</t>
  </si>
  <si>
    <t>Site Establishment</t>
  </si>
  <si>
    <t>Avg Site Establ Cost</t>
  </si>
  <si>
    <t>Blast Resist Shelter 12X40</t>
  </si>
  <si>
    <t>Generator 100-109 Kva</t>
  </si>
  <si>
    <t>Holding Tank-3X/Wk Clean</t>
  </si>
  <si>
    <t>Shack / Small Office</t>
  </si>
  <si>
    <t>Tool Room</t>
  </si>
  <si>
    <t>Lunch Tent</t>
  </si>
  <si>
    <t>Conex</t>
  </si>
  <si>
    <t>Phone</t>
  </si>
  <si>
    <t>Copier</t>
  </si>
  <si>
    <t>Computer</t>
  </si>
  <si>
    <t>Toilet</t>
  </si>
  <si>
    <t>Hand Wash</t>
  </si>
  <si>
    <t>Mule</t>
  </si>
  <si>
    <t>Vans</t>
  </si>
  <si>
    <t>1/2 Ton Truck</t>
  </si>
  <si>
    <t>Constr Equip</t>
  </si>
  <si>
    <t>1 Ton Truck/Trailer</t>
  </si>
  <si>
    <t>Dump Truck</t>
  </si>
  <si>
    <t>Excavator 25000-29999#</t>
  </si>
  <si>
    <t>Mini Excavator 7400-9199#</t>
  </si>
  <si>
    <t>Dozer Low Ground Pressure 70Hp</t>
  </si>
  <si>
    <t>Rigging</t>
  </si>
  <si>
    <t>Skip Pan 4'X8'</t>
  </si>
  <si>
    <t>Cribbing/Mats (8'X16'X6"Thk)</t>
  </si>
  <si>
    <t>Timber Mats (4'X20'X1'Thk)</t>
  </si>
  <si>
    <t>Skid Steer Track 1300-1699#</t>
  </si>
  <si>
    <t>Skid Steer Track 1700-1999#</t>
  </si>
  <si>
    <t>Skid Steer Breaker</t>
  </si>
  <si>
    <t>Scissor Lift 20-21' Electric</t>
  </si>
  <si>
    <t>Scissor Lift 24-26' Electric 46-68" Wid</t>
  </si>
  <si>
    <t>40' Scissor Lift-Rt</t>
  </si>
  <si>
    <t>Jlg 40-50' Articulating</t>
  </si>
  <si>
    <t>Jlg 60-64' Articulating</t>
  </si>
  <si>
    <t>Jlg 76-80' Articulating</t>
  </si>
  <si>
    <t>Light Stand - 500W - Electrc</t>
  </si>
  <si>
    <t>Light Tower Towable Small</t>
  </si>
  <si>
    <t>Jeeper</t>
  </si>
  <si>
    <t>8 Bank Welder</t>
  </si>
  <si>
    <t>Impact Wrench - 1"</t>
  </si>
  <si>
    <t>Gas Monitors</t>
  </si>
  <si>
    <t>Compressor 175-195 Cfm</t>
  </si>
  <si>
    <t>Pump 2" Dewatering</t>
  </si>
  <si>
    <t>Test Pump</t>
  </si>
  <si>
    <t>Bus</t>
  </si>
  <si>
    <t>Cold Cutting Equipment</t>
  </si>
  <si>
    <t>Beveling Equipment</t>
  </si>
  <si>
    <t>Rental Blinds</t>
  </si>
  <si>
    <t>Mob/Demob Equipment</t>
  </si>
  <si>
    <t>Rental For Nights</t>
  </si>
  <si>
    <t>H2S Monitors</t>
  </si>
  <si>
    <t>Fuel - Days</t>
  </si>
  <si>
    <t>Fuel -Nights  % Of Day Use</t>
  </si>
  <si>
    <t>Wk Days Per Month (Reference)</t>
  </si>
  <si>
    <t>Reference Calculations</t>
  </si>
  <si>
    <t>Site Estab</t>
  </si>
  <si>
    <t>Equip Fuel</t>
  </si>
  <si>
    <t>Heavy Lift &gt; 90 Ton,  Subcontract Rates</t>
  </si>
  <si>
    <t>Sub Pricing  Hvy Lift</t>
  </si>
  <si>
    <t>St&amp;C</t>
  </si>
  <si>
    <t>Field Small Tools</t>
  </si>
  <si>
    <t>Field Consumables</t>
  </si>
  <si>
    <t>Indirect</t>
  </si>
  <si>
    <t>Avg Mix Of Indirects</t>
  </si>
  <si>
    <t>Project Controls</t>
  </si>
  <si>
    <t>Planner</t>
  </si>
  <si>
    <t>Safety -Mgr</t>
  </si>
  <si>
    <t>Safety</t>
  </si>
  <si>
    <t>Subcontract Mgr</t>
  </si>
  <si>
    <t>Purchasing</t>
  </si>
  <si>
    <t>Mat Coord</t>
  </si>
  <si>
    <t>Office Supt</t>
  </si>
  <si>
    <t>Gen Superintendent-Night</t>
  </si>
  <si>
    <t>Gen Foreman-Night</t>
  </si>
  <si>
    <t>Qa/Qc-Night</t>
  </si>
  <si>
    <t>Safety -Night</t>
  </si>
  <si>
    <t>Timekeeper/Office Asst-Night</t>
  </si>
  <si>
    <t>Reference Calculations:</t>
  </si>
  <si>
    <t>Indir Mhs / Cost/St Rate</t>
  </si>
  <si>
    <t>Dir, Mhs / Cost/St Rate</t>
  </si>
  <si>
    <t>Percentages (Hours / Cost )</t>
  </si>
  <si>
    <t>Indirect $ / Dir Mh</t>
  </si>
  <si>
    <t>Move In - Move Out</t>
  </si>
  <si>
    <t>Misc</t>
  </si>
  <si>
    <t>Special Safety Equip, Lifejackets, Monitors, Etc.</t>
  </si>
  <si>
    <t>Safety Training</t>
  </si>
  <si>
    <t>Work Schedule</t>
  </si>
  <si>
    <t>Work Days Per Week (Ref)</t>
  </si>
  <si>
    <t>Work Hours Per Day (Ref)</t>
  </si>
  <si>
    <t>Work Hours Per Week (Ref)</t>
  </si>
  <si>
    <t>Work Hours Per Mo  (Ref)</t>
  </si>
  <si>
    <t>Work Days Per Mo  (Ref)</t>
  </si>
  <si>
    <t>Burdens / Premium Pay</t>
  </si>
  <si>
    <t>Burdens - Direct</t>
  </si>
  <si>
    <t>Burdens - Support Craft</t>
  </si>
  <si>
    <t>Burdens - Indirect</t>
  </si>
  <si>
    <t>Longshore Insurance ( Use 1.8% If Reqd)</t>
  </si>
  <si>
    <t>Premium Pay-Field Direct</t>
  </si>
  <si>
    <t>Premium Pay-Field Support Craft</t>
  </si>
  <si>
    <t>Premium Pay-Indirect</t>
  </si>
  <si>
    <t>Per Diem</t>
  </si>
  <si>
    <t>Pd Type:</t>
  </si>
  <si>
    <t>Fld Direct Per Diem</t>
  </si>
  <si>
    <t>Fld Support Craft Per Diem</t>
  </si>
  <si>
    <t>Fld Indirect Per Diem</t>
  </si>
  <si>
    <t>Overhead-Percentages</t>
  </si>
  <si>
    <t>Overhead-Calc. Amount</t>
  </si>
  <si>
    <t>Contingency-Percentages</t>
  </si>
  <si>
    <t>Contingency-Calc. Amount</t>
  </si>
  <si>
    <t>Margin-Percentages</t>
  </si>
  <si>
    <t>Margin-Calc. Amount</t>
  </si>
  <si>
    <t>Effective Markup W/ Oh</t>
  </si>
  <si>
    <t>Below Line Items</t>
  </si>
  <si>
    <t>Engr-Design</t>
  </si>
  <si>
    <t>Engr-O.S. Svcs-Pulation Study-Etc.</t>
  </si>
  <si>
    <t>Engr-O.S. Svcs-Geotechnical</t>
  </si>
  <si>
    <t>Engr-Tagged Items</t>
  </si>
  <si>
    <t>Process Equip - Engr Items</t>
  </si>
  <si>
    <t>Process Equip Freight- Engr Items</t>
  </si>
  <si>
    <t>Process Equip Vendor Reps- Engr Items</t>
  </si>
  <si>
    <t>Specialty Items-Engr Items</t>
  </si>
  <si>
    <t>Instruments  Engr Items</t>
  </si>
  <si>
    <t>Instrument Freight-Engr Items</t>
  </si>
  <si>
    <t>Electrical Engr Items</t>
  </si>
  <si>
    <t>Electrical Engr Items Freight</t>
  </si>
  <si>
    <t>E&amp;I Panel Shop-Engr Items</t>
  </si>
  <si>
    <t>E&amp;I  Bldgs Shop-Engr Items</t>
  </si>
  <si>
    <t>E&amp;I Automation</t>
  </si>
  <si>
    <t>E&amp;I  Control Sys Hardware</t>
  </si>
  <si>
    <t>E&amp;I  Control Sys. Progr.-Config</t>
  </si>
  <si>
    <t>Scaffolding - Labor</t>
  </si>
  <si>
    <t>Scaffolding - Equip</t>
  </si>
  <si>
    <t>Insulation - Matl</t>
  </si>
  <si>
    <t>Insulation - Labor</t>
  </si>
  <si>
    <t>Insulation - Equip</t>
  </si>
  <si>
    <t>Field Paint - Matl</t>
  </si>
  <si>
    <t>Field Paint - Labor</t>
  </si>
  <si>
    <t>Field Paint - Equip</t>
  </si>
  <si>
    <t>Fireproofing - Matl</t>
  </si>
  <si>
    <t>Fireproofing - Labor</t>
  </si>
  <si>
    <t>Fireproofing - Equip</t>
  </si>
  <si>
    <t>Architectural Field - Matl</t>
  </si>
  <si>
    <t>Architectural Field - Labor</t>
  </si>
  <si>
    <t>Architectural Field - Equip</t>
  </si>
  <si>
    <t>E&amp;I Field</t>
  </si>
  <si>
    <t>E&amp;I Field - Matl</t>
  </si>
  <si>
    <t>E&amp;I Field - Labor</t>
  </si>
  <si>
    <t>E&amp;I Field - Equip</t>
  </si>
  <si>
    <t>E&amp;I Field - Sub</t>
  </si>
  <si>
    <t>Pipe Shop Fab/Paint</t>
  </si>
  <si>
    <t>Pipe Shop Fabrication - Matl</t>
  </si>
  <si>
    <t>Pipe Shop Fabrication - Sub</t>
  </si>
  <si>
    <t>Pipe Shop Fabrication - Labor</t>
  </si>
  <si>
    <t>Paint Shop - Matl</t>
  </si>
  <si>
    <t>Paint Shop - Labor</t>
  </si>
  <si>
    <t>Subtotal (Below Line Items)</t>
  </si>
  <si>
    <t>Tax On Perm Matl Btl Misc - Row 864-902</t>
  </si>
  <si>
    <t>Tax On Shop Perm Matl</t>
  </si>
  <si>
    <t>Tax On Equip Rentals</t>
  </si>
  <si>
    <t>Tax On Scaffolding (Subcontract Only)</t>
  </si>
  <si>
    <t>Tax On Perm Matl  Above Line Items)</t>
  </si>
  <si>
    <t>Liq Damages Allow.</t>
  </si>
  <si>
    <t>Grand Total</t>
  </si>
  <si>
    <t>Optional Items</t>
  </si>
  <si>
    <t>Field Welds</t>
  </si>
  <si>
    <t>Erect Spool Piping</t>
  </si>
  <si>
    <t>F-Er-Sr</t>
  </si>
  <si>
    <t>F-Bw</t>
  </si>
  <si>
    <t>F-Sw</t>
  </si>
  <si>
    <t>F-Olet</t>
  </si>
  <si>
    <t>Field Welds Alloy</t>
  </si>
  <si>
    <t>F-Bw-Aly</t>
  </si>
  <si>
    <t>F-Sw-Aly</t>
  </si>
  <si>
    <t>F-Olet-Aly</t>
  </si>
  <si>
    <t>Bolt-Ups</t>
  </si>
  <si>
    <t>F-Bu</t>
  </si>
  <si>
    <t>Valve Handling</t>
  </si>
  <si>
    <t>F-Vh</t>
  </si>
  <si>
    <t>Type</t>
  </si>
  <si>
    <t>Qty</t>
  </si>
  <si>
    <t>Uom</t>
  </si>
  <si>
    <t>Umh</t>
  </si>
  <si>
    <t>Labor</t>
  </si>
  <si>
    <t>Sub</t>
  </si>
  <si>
    <t>Eq</t>
  </si>
  <si>
    <t>Forklift 5000# 16-20' Variable Reach</t>
  </si>
  <si>
    <t>Forklift Varreach 6000# 40-49'</t>
  </si>
  <si>
    <t>Forklift Varreach 10000# 50' &amp; Up</t>
  </si>
  <si>
    <t>Forklift RT 6000# 11-20' 4Wd</t>
  </si>
  <si>
    <t>Welder Arc 500 Amp</t>
  </si>
  <si>
    <t>Welder Arc 300 Amp</t>
  </si>
  <si>
    <t>Compressor 350-395 Cfm</t>
  </si>
  <si>
    <t>Lot</t>
  </si>
  <si>
    <t>Hrs</t>
  </si>
  <si>
    <t>Ea</t>
  </si>
  <si>
    <t>Lf</t>
  </si>
  <si>
    <t>Cf</t>
  </si>
  <si>
    <t>Test</t>
  </si>
  <si>
    <t>Lb</t>
  </si>
  <si>
    <t>Inch</t>
  </si>
  <si>
    <t>Mhs</t>
  </si>
  <si>
    <t>Load Of 14</t>
  </si>
  <si>
    <t>Gal</t>
  </si>
  <si>
    <t>% Of Dfl</t>
  </si>
  <si>
    <t>Hr</t>
  </si>
  <si>
    <t>Hrs / Wk</t>
  </si>
  <si>
    <t>Hrs / Mo</t>
  </si>
  <si>
    <t>Day / Mo</t>
  </si>
  <si>
    <t>$ Matl</t>
  </si>
  <si>
    <t>sub_hr</t>
  </si>
  <si>
    <t>Param1</t>
  </si>
  <si>
    <t>Param2</t>
  </si>
  <si>
    <t>Param3</t>
  </si>
  <si>
    <t>Desc</t>
  </si>
  <si>
    <t>Days-&gt;</t>
  </si>
  <si>
    <t>Other_Mh</t>
  </si>
  <si>
    <t>Sub Scaffolding</t>
  </si>
  <si>
    <t>Direct</t>
  </si>
  <si>
    <t>Support</t>
  </si>
  <si>
    <t>Mech Total</t>
  </si>
  <si>
    <t>Flat Line Mp Day &amp; Nt (Dir, Supt)</t>
  </si>
  <si>
    <t>Percent On Days</t>
  </si>
  <si>
    <t>Percent On Nights</t>
  </si>
  <si>
    <t>Avg Crew Size  On Nights</t>
  </si>
  <si>
    <t>Category</t>
  </si>
  <si>
    <t>Steel Fab/Galv</t>
  </si>
  <si>
    <t>Pipe Fab/Paint</t>
  </si>
  <si>
    <t>Engr/Fab:</t>
  </si>
  <si>
    <t>Mob</t>
  </si>
  <si>
    <t>Conc/Pile/Excav</t>
  </si>
  <si>
    <t>Stl/Eq/Pipe/Supt</t>
  </si>
  <si>
    <t>Demob</t>
  </si>
  <si>
    <t>Field Dur</t>
  </si>
  <si>
    <t>Overall</t>
  </si>
  <si>
    <t>IRA - Prevailing Wage Compliance</t>
  </si>
  <si>
    <t>IRA - Apprenticeship Compliance</t>
  </si>
  <si>
    <t>IRA - Reporting/Administration</t>
  </si>
  <si>
    <t>ROCIP Deduct (Y/N)  Direct</t>
  </si>
  <si>
    <t>ROCIP Deduct (Y/N) Indirect</t>
  </si>
  <si>
    <t>Soft Craft</t>
  </si>
  <si>
    <t>Self Perform</t>
  </si>
  <si>
    <t>No_Staff</t>
  </si>
  <si>
    <t>Dir &amp; Supt</t>
  </si>
  <si>
    <t>Factors</t>
  </si>
  <si>
    <t>W/Sub</t>
  </si>
  <si>
    <t>&amp; Btl</t>
  </si>
  <si>
    <t>Sub Hr</t>
  </si>
  <si>
    <t>Perm Matl</t>
  </si>
  <si>
    <t>Subcontract/Other Hour Sub Total</t>
  </si>
  <si>
    <t>Total Direct+Sub+Other(Less Indirect)</t>
  </si>
  <si>
    <t>RT Crane Grove RT-530E 30T</t>
  </si>
  <si>
    <t>RT Crane Grove RT-770E 70T</t>
  </si>
  <si>
    <t>RT Crane Grove RT-880E 80T</t>
  </si>
  <si>
    <t>RT Crane Grove RT-890E 90T</t>
  </si>
  <si>
    <t>RT Crane Grove GRT-8100 100T</t>
  </si>
  <si>
    <t>RT Crane Tadano GR-350XL 35T</t>
  </si>
  <si>
    <t>RT Crane Tadano GR-550XL 55T</t>
  </si>
  <si>
    <t>RT Crane Tadano GR-880XL 80T</t>
  </si>
  <si>
    <t>RT Crane Tadano GR-1000XL 100T</t>
  </si>
  <si>
    <t>RT Crane Tadano GR-1600XL 160T</t>
  </si>
  <si>
    <t>Crawl Crane Kobelco CK-1100 110T</t>
  </si>
  <si>
    <t>Crawl Crane Kobelco CK-1600 160T</t>
  </si>
  <si>
    <t>Crawl Crane Kobelco CK-2750 275T</t>
  </si>
  <si>
    <t>Crawl Crane Kobelco CK-3300 330T</t>
  </si>
  <si>
    <t>Crawl Crane Liebherr LR-1300 330T</t>
  </si>
  <si>
    <t>Carry Dk Crane Grove GCD-20 20T</t>
  </si>
  <si>
    <t>Carry Dk Crane Grove GCD-25 25T</t>
  </si>
  <si>
    <t>Crawl Crane Link-Blt LS-238HSL 150T</t>
  </si>
  <si>
    <t>Crawl Crane Link-Blt LS-298HSL 250T</t>
  </si>
  <si>
    <t>Crane Attach Lieb LR-1300 Luffer</t>
  </si>
  <si>
    <t>Crane Attach Kobelco CK-3300 Luffer</t>
  </si>
  <si>
    <t>Carry Dk Crane Brod IC-80 8.5T</t>
  </si>
  <si>
    <t>Carry Dk Crane Brod IC-200 15T</t>
  </si>
  <si>
    <t>RT Crane Brod RT-300 15T</t>
  </si>
  <si>
    <t>RT Crane Dress 150F 15T</t>
  </si>
  <si>
    <t>LEL Monitor</t>
  </si>
  <si>
    <t>F-Er-Sp</t>
  </si>
  <si>
    <t>Steel Field Welds To Exist</t>
  </si>
  <si>
    <t>Welder - Rig Trucks hs*Fact*Rate</t>
  </si>
  <si>
    <t>Thk</t>
  </si>
  <si>
    <t>Dr-9, 0.5</t>
  </si>
  <si>
    <t>Dr-9, 0.736</t>
  </si>
  <si>
    <t>Dr-9, 0.958</t>
  </si>
  <si>
    <t>Dr-9, 1.194</t>
  </si>
  <si>
    <t>Dr-9, 1.417</t>
  </si>
  <si>
    <t>Dr-9, 1.556</t>
  </si>
  <si>
    <t>Dr-9, 1.778</t>
  </si>
  <si>
    <t>Dr-9, 2</t>
  </si>
  <si>
    <t>Dr-9, 2.222</t>
  </si>
  <si>
    <t>Dr-9, 2.667</t>
  </si>
  <si>
    <t>Dr-9, 3.111</t>
  </si>
  <si>
    <t>Dr-9, 3.333</t>
  </si>
  <si>
    <t>Dr-11, 3.273</t>
  </si>
  <si>
    <t>Dr-13.5, 3.111</t>
  </si>
  <si>
    <t>Dr-13.5, 3.556</t>
  </si>
  <si>
    <t>$ / Area-&gt;</t>
  </si>
  <si>
    <t>Mhs -&gt;</t>
  </si>
  <si>
    <t>Cf / Area-&gt;</t>
  </si>
  <si>
    <t>Cf -&gt;</t>
  </si>
  <si>
    <t>No Test</t>
  </si>
  <si>
    <t># Days-&gt;</t>
  </si>
  <si>
    <t># / Area-&gt;</t>
  </si>
  <si>
    <t>Tons -&gt;</t>
  </si>
  <si>
    <t>Qty -&gt;</t>
  </si>
  <si>
    <t>Sub Mhs -&gt;</t>
  </si>
  <si>
    <t>Lf -&gt;</t>
  </si>
  <si>
    <t>Qty Ea -&gt;</t>
  </si>
  <si>
    <t>Qty Lf-&gt;</t>
  </si>
  <si>
    <t>Sub $-&gt;</t>
  </si>
  <si>
    <t>Client$ -&gt;</t>
  </si>
  <si>
    <t>Wk Days</t>
  </si>
  <si>
    <t>$/Fdmh</t>
  </si>
  <si>
    <t>Ot</t>
  </si>
  <si>
    <t>Civil - RCI Material</t>
  </si>
  <si>
    <t>Civil - RCI Labor</t>
  </si>
  <si>
    <t>Paint - Field (RCI Labor)</t>
  </si>
  <si>
    <t>Paint - Field (RCI Equip)</t>
  </si>
  <si>
    <t>Paint - Field (RCI Matl)</t>
  </si>
  <si>
    <t>Subtotal - RCI Cost</t>
  </si>
  <si>
    <t>Subtotal -  RCI Client Cost</t>
  </si>
  <si>
    <t>Indirect (Ref RCI 3 Year Avg - 22%)</t>
  </si>
  <si>
    <t>Avg RCI Manpower / Crew Qty</t>
  </si>
  <si>
    <t>PMI - Field</t>
  </si>
  <si>
    <t>Dye Penn Testing (PT) - Field</t>
  </si>
  <si>
    <t>Brinell (BNH) - Field</t>
  </si>
  <si>
    <t>PWHT - Field</t>
  </si>
  <si>
    <t>Backhoe/Loader 60-90Hp 4WD</t>
  </si>
  <si>
    <t>F-Bw-HDPE</t>
  </si>
  <si>
    <t>Field Fab-Install HDPE</t>
  </si>
  <si>
    <t>F-Fab-Intall-HDPE</t>
  </si>
  <si>
    <t>HDPE Technician</t>
  </si>
  <si>
    <t>HDPE Fusion Equip:</t>
  </si>
  <si>
    <t>HDPE Machine,T28</t>
  </si>
  <si>
    <t>HDPE Machine,T412</t>
  </si>
  <si>
    <t>HDPE Machine,T618</t>
  </si>
  <si>
    <t>HDPE Machine,T630</t>
  </si>
  <si>
    <t>HDPE Machine,T900</t>
  </si>
  <si>
    <t>HDPE Machine,Cart-1648</t>
  </si>
  <si>
    <t>Office ( Dbl Wide )</t>
  </si>
  <si>
    <t>Office ( Single Wide )</t>
  </si>
  <si>
    <t>TOTALS w/ all Options</t>
  </si>
  <si>
    <t>Steel Prod Factor</t>
  </si>
  <si>
    <t>Pipe Prod Factor</t>
  </si>
  <si>
    <t>Equip Prod Factor</t>
  </si>
  <si>
    <t>Pct</t>
  </si>
  <si>
    <t>Bussing, Permit Delay, Weather Prod Factor</t>
  </si>
  <si>
    <t>Avg Dia-Er-Sp</t>
  </si>
  <si>
    <t>Total Field Welds CS+Aly  Qty | Hrs</t>
  </si>
  <si>
    <t>3rd Party Inspection</t>
  </si>
  <si>
    <t>PSV-Engr Items</t>
  </si>
  <si>
    <t>QA/QC-Mgr</t>
  </si>
  <si>
    <t>QA/QC</t>
  </si>
  <si>
    <t>Trailer - 40 Ft Goosneck</t>
  </si>
  <si>
    <t>Ridgid 535 Thrd Mach</t>
  </si>
  <si>
    <t>Tugger 5 Ton w/ 500Ft Cable</t>
  </si>
  <si>
    <t>Pipe Rollers</t>
  </si>
  <si>
    <t>Radios</t>
  </si>
  <si>
    <t>Copus Blower</t>
  </si>
  <si>
    <t>Cooling Station</t>
  </si>
  <si>
    <t>Portable AC w/ 20' Duct</t>
  </si>
  <si>
    <t>Metal Dumpster (2 Load/Mo)</t>
  </si>
  <si>
    <t>Water Truck For Hydro Water</t>
  </si>
  <si>
    <t>Truck Tractor Single Axle</t>
  </si>
  <si>
    <t>Truck Tractor w/ Trailer</t>
  </si>
  <si>
    <t>Welding Machine Electric 6 Bank</t>
  </si>
  <si>
    <t>Welding Rod Oven 300#</t>
  </si>
  <si>
    <t>Overall Calculated Prod Factor</t>
  </si>
  <si>
    <t>Tracing - Steam</t>
  </si>
  <si>
    <t>Tracing - Electrical</t>
  </si>
  <si>
    <t>Fire Proof - Equipment</t>
  </si>
  <si>
    <t>Fire Proof - Steel Blockouts</t>
  </si>
  <si>
    <t>Insulation - Equipment</t>
  </si>
  <si>
    <t>Insulation - Pipe</t>
  </si>
  <si>
    <t>Insulation - Blankets</t>
  </si>
  <si>
    <t>Bolt-Up  Qty_Hrs</t>
  </si>
  <si>
    <t>Valve Handling Qty_Hrs</t>
  </si>
  <si>
    <t>Lf-Er-Sr (Ref)  AvgDia_LF_TotMh</t>
  </si>
  <si>
    <t>HDPE (Ref)  AvgDia_LF_TotMh</t>
  </si>
  <si>
    <t>F-Er-Sp (Ref)  AvgDia_LF_TotMh</t>
  </si>
  <si>
    <t>Crew Size_Qty Of Crews (Days)</t>
  </si>
  <si>
    <t>Area_01</t>
  </si>
  <si>
    <t>Area_02</t>
  </si>
  <si>
    <t>Area_03</t>
  </si>
  <si>
    <t>Area_04</t>
  </si>
  <si>
    <t>Area_05</t>
  </si>
  <si>
    <t>Area_06</t>
  </si>
  <si>
    <t>Area_07</t>
  </si>
  <si>
    <t>Area_08</t>
  </si>
  <si>
    <t>Ovh,Cont,Marg</t>
  </si>
  <si>
    <t>labor</t>
  </si>
  <si>
    <t>Subtotal1</t>
  </si>
  <si>
    <t>Notes:</t>
  </si>
  <si>
    <t>torq_mh_total</t>
  </si>
  <si>
    <t>Qty_Set</t>
  </si>
  <si>
    <t>Stud_Qty</t>
  </si>
  <si>
    <t>1.  Torque Studs &gt;= Size</t>
  </si>
  <si>
    <t>2.  Torque MHs were calculated based on older bids assuming $65/hr</t>
  </si>
  <si>
    <t>Stud_Gsk_Cost</t>
  </si>
  <si>
    <t>Last_Update</t>
  </si>
  <si>
    <t>Unit_Gsk</t>
  </si>
  <si>
    <t>un_Stud</t>
  </si>
  <si>
    <t>Set_Cost</t>
  </si>
  <si>
    <t>Torq_Qty</t>
  </si>
  <si>
    <t>Torq_un_mh</t>
  </si>
  <si>
    <t>Stud_Dia</t>
  </si>
  <si>
    <t>Area_09</t>
  </si>
  <si>
    <t>Mix</t>
  </si>
  <si>
    <t>Dr-9, 0.7</t>
  </si>
  <si>
    <t>Dr-9, 0.9</t>
  </si>
  <si>
    <t>Dr-9, 1.2</t>
  </si>
  <si>
    <t>Dr-9, 1.4</t>
  </si>
  <si>
    <t>Dr-9, 1.6</t>
  </si>
  <si>
    <t>Dr-9, 1.8</t>
  </si>
  <si>
    <t>Dr-9, 2.0</t>
  </si>
  <si>
    <t>Dr-9, 2.2</t>
  </si>
  <si>
    <t>Dr-9, 2.7</t>
  </si>
  <si>
    <t>Dr-9, 3.1</t>
  </si>
  <si>
    <t>Dr-9, 3.3</t>
  </si>
  <si>
    <t>Dr-11, 3.3</t>
  </si>
  <si>
    <t>Dr-13.5, 3.1</t>
  </si>
  <si>
    <t>Dr-13.5, 3.6</t>
  </si>
  <si>
    <t>Estim No</t>
  </si>
  <si>
    <t>Project</t>
  </si>
  <si>
    <t>Due Date</t>
  </si>
  <si>
    <t>Client</t>
  </si>
  <si>
    <t>Estim</t>
  </si>
  <si>
    <t>Job Location</t>
  </si>
  <si>
    <t>Review</t>
  </si>
  <si>
    <t>XXXXX</t>
  </si>
  <si>
    <t>XXX</t>
  </si>
  <si>
    <t>0</t>
  </si>
  <si>
    <t>Estimate Sheet</t>
  </si>
  <si>
    <t>Prog</t>
  </si>
  <si>
    <t>Trash Dumpster Wkly Dump</t>
  </si>
  <si>
    <t>Stud_Len</t>
  </si>
  <si>
    <t>chk_cost_per_lb</t>
  </si>
  <si>
    <t>Stud_Wt_Ea</t>
  </si>
  <si>
    <t>Rtg</t>
  </si>
  <si>
    <t>Nps</t>
  </si>
  <si>
    <t>Brkd_Ref</t>
  </si>
  <si>
    <t>Mh_Tot</t>
  </si>
  <si>
    <t>Area_All</t>
  </si>
  <si>
    <t>Spread_MechFld_Dir</t>
  </si>
  <si>
    <t>Spread_MechFld_Steel_Dir</t>
  </si>
  <si>
    <t>Spread_MechFld_ProcEq_Dir</t>
  </si>
  <si>
    <t>Spread_MechFld_Pipe_Dir</t>
  </si>
  <si>
    <t>Spread_cop</t>
  </si>
  <si>
    <t>Spread_tax_matl</t>
  </si>
  <si>
    <t>Spread_tax_equip</t>
  </si>
  <si>
    <t>key_Lf</t>
  </si>
  <si>
    <t>key_Cf</t>
  </si>
  <si>
    <t>key_Ton</t>
  </si>
  <si>
    <t>key_EA</t>
  </si>
  <si>
    <t>key_Ea</t>
  </si>
  <si>
    <t>key_CY</t>
  </si>
  <si>
    <t>key_SF</t>
  </si>
  <si>
    <t>key_LF</t>
  </si>
  <si>
    <t>atl_btl</t>
  </si>
  <si>
    <t>*</t>
  </si>
  <si>
    <t>a</t>
  </si>
  <si>
    <t>sprd_order</t>
  </si>
  <si>
    <t>sprd_basis_field</t>
  </si>
  <si>
    <t>incl_cumul_sprd_values_list</t>
  </si>
  <si>
    <t>Lab</t>
  </si>
  <si>
    <t>Eqp</t>
  </si>
  <si>
    <t>All</t>
  </si>
  <si>
    <t>sprd_desc</t>
  </si>
  <si>
    <t>type</t>
  </si>
  <si>
    <t>div</t>
  </si>
  <si>
    <t>discp</t>
  </si>
  <si>
    <t>lab_type</t>
  </si>
  <si>
    <t>Lab_type</t>
  </si>
  <si>
    <t>Mat</t>
  </si>
  <si>
    <t>Create Breakdown Instructions</t>
  </si>
  <si>
    <t>2.  Complete Spread Definition Table below</t>
  </si>
  <si>
    <t>Calculates breakdown and writes the data back to a Binary Output File 'c:\t\brkd_results.bin</t>
  </si>
  <si>
    <t>1.  Confirm that all 'Brkd_Ref' Fields on the estimate sheet are completed</t>
  </si>
  <si>
    <t>Spread_MechFld_Supt_Lab</t>
  </si>
  <si>
    <t>Spread_MechFld_InDir</t>
  </si>
  <si>
    <t>Support Craft (Estimated separately)</t>
  </si>
  <si>
    <t>wtd $/Day</t>
  </si>
  <si>
    <t>3.  Complete Spread Definition Table below</t>
  </si>
  <si>
    <t>spread categories
currently in Estimate</t>
  </si>
  <si>
    <t>Working items</t>
  </si>
  <si>
    <t>ref</t>
  </si>
  <si>
    <t>desc</t>
  </si>
  <si>
    <t>Read the Breakdown Data into Sheet</t>
  </si>
  <si>
    <t>Finish adding aggregation of other_mh, mhs, qtys</t>
  </si>
  <si>
    <t>Finish adding to logic of adding and previous calculated spreads when calculated the spread basis.</t>
  </si>
  <si>
    <t xml:space="preserve">  - Read Unpivot Data</t>
  </si>
  <si>
    <t xml:space="preserve">  - Read Spread Summary Data</t>
  </si>
  <si>
    <t xml:space="preserve">  - Read Overall Breakdown Summary Data</t>
  </si>
  <si>
    <t>Spread_tax_Scaffolding</t>
  </si>
  <si>
    <t>4.  Click 'Export Binary' button below to export the data in the estimate to a binary file located placed in path 'c:\t\data.bin'</t>
  </si>
  <si>
    <t>5.  Run program - 'breakdown'</t>
  </si>
  <si>
    <t>6.  Click 'Import Results' button below to export the data in the estimate to a binary file located placed in path 'c:\t\data.bin'</t>
  </si>
  <si>
    <t>pipe</t>
  </si>
  <si>
    <t>constr_equip</t>
  </si>
  <si>
    <t>pipe_matl</t>
  </si>
  <si>
    <t>1,2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</si>
</sst>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0.0"/>
    <numFmt numFmtId="166" formatCode="_(* #,##0_);_(* \(#,##0\);_(* &quot;-&quot;??_);_(@_)"/>
    <numFmt numFmtId="167" formatCode="_(* #,##0.000_);_(* \(#,##0.000\);_(* &quot;-&quot;??_);_(@_)"/>
    <numFmt numFmtId="168" formatCode="&quot;$&quot;#,##0.00"/>
    <numFmt numFmtId="169" formatCode="0.000"/>
    <numFmt numFmtId="170" formatCode="0.0000"/>
    <numFmt numFmtId="171" formatCode="#,##0.0"/>
    <numFmt numFmtId="172" formatCode="0.0%"/>
    <numFmt numFmtId="173" formatCode="m\o\n\th\ d\,\ yyyy"/>
    <numFmt numFmtId="174" formatCode="#.00"/>
    <numFmt numFmtId="175" formatCode="#."/>
    <numFmt numFmtId="176" formatCode="_(* #,##0.0_);_(* \(#,##0.0\);_(* &quot;-&quot;??_);_(@_)"/>
    <numFmt numFmtId="177" formatCode="0.00000"/>
    <numFmt numFmtId="178" formatCode="#,##0.000"/>
    <numFmt numFmtId="179" formatCode="mm/dd/yy;@"/>
    <numFmt numFmtId="180" formatCode="0.00%_);[Red]\(0.00%\);0.00%_)"/>
    <numFmt numFmtId="181" formatCode="#,##0.00000"/>
    <numFmt numFmtId="182" formatCode="&quot;sub_rate&quot;_(&quot;$&quot;* #,##0_);_(&quot;$&quot;* \(#,##0\);_(&quot;$&quot;* &quot;-&quot;??_);_(@_)"/>
    <numFmt numFmtId="183" formatCode="&quot;soft_rate&quot;_(&quot;$&quot;* #,##0_);_(&quot;$&quot;* \(#,##0\);_(&quot;$&quot;* &quot;-&quot;??_);_(@_)"/>
    <numFmt numFmtId="184" formatCode="&quot;ei_rate&quot;_(&quot;$&quot;* #,##0_);_(&quot;$&quot;* \(#,##0\);_(&quot;$&quot;* &quot;-&quot;??_);_(@_)"/>
    <numFmt numFmtId="185" formatCode="#,##0.0_);\(#,##0.0\)"/>
  </numFmts>
  <fonts count="4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1"/>
      <color indexed="56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color indexed="6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10"/>
      <color indexed="39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b/>
      <sz val="18"/>
      <color indexed="62"/>
      <name val="Cambria"/>
      <family val="2"/>
    </font>
    <font>
      <b/>
      <u/>
      <sz val="10"/>
      <name val="Arial"/>
      <family val="2"/>
    </font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b/>
      <sz val="11"/>
      <color rgb="FF3F3F3F"/>
      <name val="Calibri"/>
      <family val="2"/>
      <scheme val="minor"/>
    </font>
    <font>
      <sz val="10"/>
      <color rgb="FF0000FF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10"/>
      <color rgb="FF3F3F3F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6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44"/>
        <bgColor indexed="44"/>
      </patternFill>
    </fill>
    <fill>
      <patternFill patternType="solid">
        <fgColor indexed="54"/>
        <bgColor indexed="54"/>
      </patternFill>
    </fill>
    <fill>
      <patternFill patternType="solid">
        <fgColor indexed="24"/>
        <bgColor indexed="24"/>
      </patternFill>
    </fill>
    <fill>
      <patternFill patternType="solid">
        <fgColor indexed="10"/>
      </patternFill>
    </fill>
    <fill>
      <patternFill patternType="solid">
        <fgColor indexed="15"/>
        <bgColor indexed="15"/>
      </patternFill>
    </fill>
    <fill>
      <patternFill patternType="solid">
        <fgColor indexed="45"/>
        <bgColor indexed="45"/>
      </patternFill>
    </fill>
    <fill>
      <patternFill patternType="solid">
        <fgColor indexed="55"/>
        <bgColor indexed="55"/>
      </patternFill>
    </fill>
    <fill>
      <patternFill patternType="solid">
        <fgColor indexed="57"/>
      </patternFill>
    </fill>
    <fill>
      <patternFill patternType="solid">
        <fgColor indexed="41"/>
        <bgColor indexed="41"/>
      </patternFill>
    </fill>
    <fill>
      <patternFill patternType="solid">
        <fgColor indexed="40"/>
        <bgColor indexed="40"/>
      </patternFill>
    </fill>
    <fill>
      <patternFill patternType="solid">
        <fgColor indexed="22"/>
        <bgColor indexed="22"/>
      </patternFill>
    </fill>
    <fill>
      <patternFill patternType="solid">
        <fgColor indexed="53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0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2F2F2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1C4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0000"/>
        <bgColor indexed="64"/>
      </patternFill>
    </fill>
  </fills>
  <borders count="45">
    <border>
      <left/>
      <right/>
      <top/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 style="medium">
        <color theme="1"/>
      </bottom>
      <diagonal/>
    </border>
  </borders>
  <cellStyleXfs count="97">
    <xf numFmtId="0" fontId="0" fillId="0" borderId="0"/>
    <xf numFmtId="0" fontId="22" fillId="8" borderId="0" applyNumberFormat="0" applyBorder="0" applyAlignment="0" applyProtection="0"/>
    <xf numFmtId="0" fontId="22" fillId="9" borderId="0" applyNumberFormat="0" applyBorder="0" applyAlignment="0" applyProtection="0"/>
    <xf numFmtId="0" fontId="23" fillId="10" borderId="0" applyNumberFormat="0" applyBorder="0" applyAlignment="0" applyProtection="0"/>
    <xf numFmtId="0" fontId="22" fillId="12" borderId="0" applyNumberFormat="0" applyBorder="0" applyAlignment="0" applyProtection="0"/>
    <xf numFmtId="0" fontId="22" fillId="13" borderId="0" applyNumberFormat="0" applyBorder="0" applyAlignment="0" applyProtection="0"/>
    <xf numFmtId="0" fontId="23" fillId="14" borderId="0" applyNumberFormat="0" applyBorder="0" applyAlignment="0" applyProtection="0"/>
    <xf numFmtId="0" fontId="22" fillId="16" borderId="0" applyNumberFormat="0" applyBorder="0" applyAlignment="0" applyProtection="0"/>
    <xf numFmtId="0" fontId="22" fillId="17" borderId="0" applyNumberFormat="0" applyBorder="0" applyAlignment="0" applyProtection="0"/>
    <xf numFmtId="0" fontId="23" fillId="18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23" fillId="18" borderId="0" applyNumberFormat="0" applyBorder="0" applyAlignment="0" applyProtection="0"/>
    <xf numFmtId="0" fontId="22" fillId="8" borderId="0" applyNumberFormat="0" applyBorder="0" applyAlignment="0" applyProtection="0"/>
    <xf numFmtId="0" fontId="22" fillId="9" borderId="0" applyNumberFormat="0" applyBorder="0" applyAlignment="0" applyProtection="0"/>
    <xf numFmtId="0" fontId="23" fillId="9" borderId="0" applyNumberFormat="0" applyBorder="0" applyAlignment="0" applyProtection="0"/>
    <xf numFmtId="0" fontId="22" fillId="20" borderId="0" applyNumberFormat="0" applyBorder="0" applyAlignment="0" applyProtection="0"/>
    <xf numFmtId="0" fontId="22" fillId="13" borderId="0" applyNumberFormat="0" applyBorder="0" applyAlignment="0" applyProtection="0"/>
    <xf numFmtId="0" fontId="23" fillId="21" borderId="0" applyNumberFormat="0" applyBorder="0" applyAlignment="0" applyProtection="0"/>
    <xf numFmtId="43" fontId="10" fillId="0" borderId="0" applyFont="0" applyFill="0" applyBorder="0" applyAlignment="0" applyProtection="0"/>
    <xf numFmtId="43" fontId="17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31" fillId="0" borderId="0" applyFont="0" applyFill="0" applyBorder="0" applyAlignment="0" applyProtection="0"/>
    <xf numFmtId="173" fontId="18" fillId="0" borderId="0">
      <protection locked="0"/>
    </xf>
    <xf numFmtId="0" fontId="24" fillId="22" borderId="0" applyNumberFormat="0" applyBorder="0" applyAlignment="0" applyProtection="0"/>
    <xf numFmtId="0" fontId="24" fillId="23" borderId="0" applyNumberFormat="0" applyBorder="0" applyAlignment="0" applyProtection="0"/>
    <xf numFmtId="0" fontId="24" fillId="24" borderId="0" applyNumberFormat="0" applyBorder="0" applyAlignment="0" applyProtection="0"/>
    <xf numFmtId="0" fontId="16" fillId="38" borderId="0" applyNumberFormat="0" applyFont="0" applyBorder="0" applyAlignment="0" applyProtection="0"/>
    <xf numFmtId="174" fontId="18" fillId="0" borderId="0">
      <protection locked="0"/>
    </xf>
    <xf numFmtId="175" fontId="19" fillId="0" borderId="0">
      <protection locked="0"/>
    </xf>
    <xf numFmtId="175" fontId="19" fillId="0" borderId="0"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14" fontId="17" fillId="0" borderId="0">
      <alignment horizontal="center"/>
    </xf>
    <xf numFmtId="0" fontId="10" fillId="0" borderId="0"/>
    <xf numFmtId="14" fontId="17" fillId="0" borderId="0">
      <alignment horizontal="center"/>
    </xf>
    <xf numFmtId="0" fontId="10" fillId="0" borderId="0" applyBorder="0">
      <alignment vertical="center"/>
    </xf>
    <xf numFmtId="0" fontId="31" fillId="0" borderId="0"/>
    <xf numFmtId="0" fontId="20" fillId="0" borderId="0"/>
    <xf numFmtId="0" fontId="31" fillId="0" borderId="0"/>
    <xf numFmtId="0" fontId="33" fillId="0" borderId="0"/>
    <xf numFmtId="0" fontId="34" fillId="37" borderId="32" applyNumberFormat="0" applyAlignment="0" applyProtection="0"/>
    <xf numFmtId="9" fontId="10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21" fillId="0" borderId="0" applyNumberFormat="0" applyFont="0" applyFill="0" applyBorder="0" applyAlignment="0">
      <alignment vertical="center"/>
    </xf>
    <xf numFmtId="4" fontId="13" fillId="25" borderId="1" applyNumberFormat="0" applyProtection="0">
      <alignment vertical="center"/>
    </xf>
    <xf numFmtId="4" fontId="25" fillId="25" borderId="1" applyNumberFormat="0" applyProtection="0">
      <alignment vertical="center"/>
    </xf>
    <xf numFmtId="4" fontId="13" fillId="25" borderId="1" applyNumberFormat="0" applyProtection="0">
      <alignment horizontal="left" vertical="center" indent="1"/>
    </xf>
    <xf numFmtId="0" fontId="13" fillId="25" borderId="1" applyNumberFormat="0" applyProtection="0">
      <alignment horizontal="left" vertical="top" indent="1"/>
    </xf>
    <xf numFmtId="4" fontId="13" fillId="27" borderId="0" applyNumberFormat="0" applyProtection="0">
      <alignment horizontal="left" vertical="center" indent="1"/>
    </xf>
    <xf numFmtId="4" fontId="15" fillId="2" borderId="1" applyNumberFormat="0" applyProtection="0">
      <alignment horizontal="right" vertical="center"/>
    </xf>
    <xf numFmtId="4" fontId="15" fillId="4" borderId="1" applyNumberFormat="0" applyProtection="0">
      <alignment horizontal="right" vertical="center"/>
    </xf>
    <xf numFmtId="4" fontId="15" fillId="11" borderId="1" applyNumberFormat="0" applyProtection="0">
      <alignment horizontal="right" vertical="center"/>
    </xf>
    <xf numFmtId="4" fontId="15" fillId="6" borderId="1" applyNumberFormat="0" applyProtection="0">
      <alignment horizontal="right" vertical="center"/>
    </xf>
    <xf numFmtId="4" fontId="15" fillId="7" borderId="1" applyNumberFormat="0" applyProtection="0">
      <alignment horizontal="right" vertical="center"/>
    </xf>
    <xf numFmtId="4" fontId="15" fillId="19" borderId="1" applyNumberFormat="0" applyProtection="0">
      <alignment horizontal="right" vertical="center"/>
    </xf>
    <xf numFmtId="4" fontId="15" fillId="15" borderId="1" applyNumberFormat="0" applyProtection="0">
      <alignment horizontal="right" vertical="center"/>
    </xf>
    <xf numFmtId="4" fontId="15" fillId="28" borderId="1" applyNumberFormat="0" applyProtection="0">
      <alignment horizontal="right" vertical="center"/>
    </xf>
    <xf numFmtId="4" fontId="15" fillId="5" borderId="1" applyNumberFormat="0" applyProtection="0">
      <alignment horizontal="right" vertical="center"/>
    </xf>
    <xf numFmtId="4" fontId="13" fillId="29" borderId="2" applyNumberFormat="0" applyProtection="0">
      <alignment horizontal="left" vertical="center" indent="1"/>
    </xf>
    <xf numFmtId="4" fontId="15" fillId="30" borderId="0" applyNumberFormat="0" applyProtection="0">
      <alignment horizontal="left" vertical="center" indent="1"/>
    </xf>
    <xf numFmtId="4" fontId="26" fillId="31" borderId="0" applyNumberFormat="0" applyProtection="0">
      <alignment horizontal="left" vertical="center" indent="1"/>
    </xf>
    <xf numFmtId="4" fontId="15" fillId="27" borderId="1" applyNumberFormat="0" applyProtection="0">
      <alignment horizontal="right" vertical="center"/>
    </xf>
    <xf numFmtId="4" fontId="15" fillId="30" borderId="0" applyNumberFormat="0" applyProtection="0">
      <alignment horizontal="left" vertical="center" indent="1"/>
    </xf>
    <xf numFmtId="4" fontId="15" fillId="27" borderId="0" applyNumberFormat="0" applyProtection="0">
      <alignment horizontal="left" vertical="center" indent="1"/>
    </xf>
    <xf numFmtId="0" fontId="10" fillId="31" borderId="1" applyNumberFormat="0" applyProtection="0">
      <alignment horizontal="left" vertical="center" indent="1"/>
    </xf>
    <xf numFmtId="0" fontId="10" fillId="31" borderId="1" applyNumberFormat="0" applyProtection="0">
      <alignment horizontal="left" vertical="top" indent="1"/>
    </xf>
    <xf numFmtId="0" fontId="10" fillId="27" borderId="1" applyNumberFormat="0" applyProtection="0">
      <alignment horizontal="left" vertical="center" indent="1"/>
    </xf>
    <xf numFmtId="0" fontId="10" fillId="27" borderId="1" applyNumberFormat="0" applyProtection="0">
      <alignment horizontal="left" vertical="top" indent="1"/>
    </xf>
    <xf numFmtId="0" fontId="10" fillId="3" borderId="1" applyNumberFormat="0" applyProtection="0">
      <alignment horizontal="left" vertical="center" indent="1"/>
    </xf>
    <xf numFmtId="0" fontId="10" fillId="3" borderId="1" applyNumberFormat="0" applyProtection="0">
      <alignment horizontal="left" vertical="top" indent="1"/>
    </xf>
    <xf numFmtId="0" fontId="10" fillId="30" borderId="1" applyNumberFormat="0" applyProtection="0">
      <alignment horizontal="left" vertical="center" indent="1"/>
    </xf>
    <xf numFmtId="0" fontId="10" fillId="30" borderId="1" applyNumberFormat="0" applyProtection="0">
      <alignment horizontal="left" vertical="top" indent="1"/>
    </xf>
    <xf numFmtId="0" fontId="10" fillId="32" borderId="3" applyNumberFormat="0">
      <protection locked="0"/>
    </xf>
    <xf numFmtId="4" fontId="15" fillId="26" borderId="1" applyNumberFormat="0" applyProtection="0">
      <alignment vertical="center"/>
    </xf>
    <xf numFmtId="4" fontId="27" fillId="26" borderId="1" applyNumberFormat="0" applyProtection="0">
      <alignment vertical="center"/>
    </xf>
    <xf numFmtId="4" fontId="15" fillId="26" borderId="1" applyNumberFormat="0" applyProtection="0">
      <alignment horizontal="left" vertical="center" indent="1"/>
    </xf>
    <xf numFmtId="0" fontId="15" fillId="26" borderId="1" applyNumberFormat="0" applyProtection="0">
      <alignment horizontal="left" vertical="top" indent="1"/>
    </xf>
    <xf numFmtId="4" fontId="15" fillId="30" borderId="1" applyNumberFormat="0" applyProtection="0">
      <alignment horizontal="right" vertical="center"/>
    </xf>
    <xf numFmtId="4" fontId="27" fillId="30" borderId="1" applyNumberFormat="0" applyProtection="0">
      <alignment horizontal="right" vertical="center"/>
    </xf>
    <xf numFmtId="4" fontId="15" fillId="27" borderId="1" applyNumberFormat="0" applyProtection="0">
      <alignment horizontal="left" vertical="center" indent="1"/>
    </xf>
    <xf numFmtId="0" fontId="15" fillId="27" borderId="1" applyNumberFormat="0" applyProtection="0">
      <alignment horizontal="left" vertical="top" indent="1"/>
    </xf>
    <xf numFmtId="4" fontId="28" fillId="33" borderId="0" applyNumberFormat="0" applyProtection="0">
      <alignment horizontal="left" vertical="center" indent="1"/>
    </xf>
    <xf numFmtId="4" fontId="14" fillId="30" borderId="1" applyNumberFormat="0" applyProtection="0">
      <alignment horizontal="right" vertical="center"/>
    </xf>
    <xf numFmtId="0" fontId="29" fillId="0" borderId="0" applyNumberFormat="0" applyFill="0" applyBorder="0" applyAlignment="0" applyProtection="0"/>
    <xf numFmtId="0" fontId="16" fillId="39" borderId="0" applyNumberFormat="0" applyFont="0" applyBorder="0" applyAlignment="0" applyProtection="0"/>
    <xf numFmtId="175" fontId="18" fillId="0" borderId="4">
      <protection locked="0"/>
    </xf>
    <xf numFmtId="0" fontId="9" fillId="0" borderId="0"/>
    <xf numFmtId="0" fontId="15" fillId="0" borderId="0">
      <alignment vertical="top"/>
    </xf>
    <xf numFmtId="0" fontId="8" fillId="0" borderId="0"/>
    <xf numFmtId="44" fontId="8" fillId="0" borderId="0" applyFont="0" applyFill="0" applyBorder="0" applyAlignment="0" applyProtection="0"/>
    <xf numFmtId="0" fontId="41" fillId="0" borderId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7" fillId="0" borderId="0"/>
  </cellStyleXfs>
  <cellXfs count="445">
    <xf numFmtId="0" fontId="0" fillId="0" borderId="0" xfId="0"/>
    <xf numFmtId="0" fontId="12" fillId="0" borderId="0" xfId="0" applyFont="1"/>
    <xf numFmtId="0" fontId="10" fillId="0" borderId="0" xfId="0" applyFont="1"/>
    <xf numFmtId="0" fontId="10" fillId="0" borderId="3" xfId="0" applyFont="1" applyBorder="1" applyAlignment="1" applyProtection="1">
      <alignment horizontal="left" indent="1"/>
      <protection locked="0"/>
    </xf>
    <xf numFmtId="2" fontId="10" fillId="0" borderId="3" xfId="23" applyNumberFormat="1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Alignment="1" applyProtection="1">
      <alignment horizontal="left" indent="1"/>
      <protection locked="0"/>
    </xf>
    <xf numFmtId="2" fontId="10" fillId="0" borderId="0" xfId="23" applyNumberFormat="1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Border="1" applyAlignment="1">
      <alignment horizontal="center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37" fillId="43" borderId="11" xfId="33" applyFont="1" applyFill="1" applyBorder="1" applyAlignment="1" applyProtection="1">
      <alignment horizontal="left" vertical="top" wrapText="1"/>
      <protection locked="0"/>
    </xf>
    <xf numFmtId="0" fontId="10" fillId="0" borderId="14" xfId="0" applyFont="1" applyBorder="1"/>
    <xf numFmtId="164" fontId="10" fillId="0" borderId="14" xfId="21" applyNumberFormat="1" applyFont="1" applyBorder="1"/>
    <xf numFmtId="164" fontId="10" fillId="0" borderId="3" xfId="21" applyNumberFormat="1" applyFont="1" applyBorder="1"/>
    <xf numFmtId="0" fontId="10" fillId="35" borderId="3" xfId="0" applyFont="1" applyFill="1" applyBorder="1" applyAlignment="1">
      <alignment horizontal="center"/>
    </xf>
    <xf numFmtId="0" fontId="10" fillId="41" borderId="3" xfId="0" applyFont="1" applyFill="1" applyBorder="1" applyAlignment="1">
      <alignment horizontal="center"/>
    </xf>
    <xf numFmtId="0" fontId="10" fillId="0" borderId="20" xfId="0" applyFont="1" applyBorder="1" applyAlignment="1">
      <alignment horizontal="center"/>
    </xf>
    <xf numFmtId="164" fontId="10" fillId="0" borderId="0" xfId="21" applyNumberFormat="1" applyFont="1" applyBorder="1"/>
    <xf numFmtId="0" fontId="10" fillId="41" borderId="14" xfId="0" applyFont="1" applyFill="1" applyBorder="1" applyAlignment="1">
      <alignment horizontal="center"/>
    </xf>
    <xf numFmtId="0" fontId="10" fillId="0" borderId="14" xfId="0" applyFont="1" applyBorder="1" applyAlignment="1">
      <alignment horizontal="center"/>
    </xf>
    <xf numFmtId="0" fontId="10" fillId="0" borderId="19" xfId="0" applyFont="1" applyBorder="1" applyAlignment="1">
      <alignment horizontal="left"/>
    </xf>
    <xf numFmtId="0" fontId="10" fillId="0" borderId="19" xfId="0" applyFont="1" applyBorder="1"/>
    <xf numFmtId="0" fontId="10" fillId="36" borderId="0" xfId="0" applyFont="1" applyFill="1" applyAlignment="1">
      <alignment horizontal="center"/>
    </xf>
    <xf numFmtId="0" fontId="10" fillId="36" borderId="0" xfId="0" applyFont="1" applyFill="1"/>
    <xf numFmtId="164" fontId="10" fillId="36" borderId="0" xfId="21" applyNumberFormat="1" applyFont="1" applyFill="1" applyBorder="1"/>
    <xf numFmtId="0" fontId="10" fillId="0" borderId="22" xfId="0" applyFont="1" applyBorder="1" applyAlignment="1">
      <alignment horizontal="left"/>
    </xf>
    <xf numFmtId="0" fontId="10" fillId="0" borderId="22" xfId="0" applyFont="1" applyBorder="1"/>
    <xf numFmtId="1" fontId="10" fillId="0" borderId="3" xfId="0" applyNumberFormat="1" applyFont="1" applyBorder="1" applyAlignment="1">
      <alignment horizontal="center"/>
    </xf>
    <xf numFmtId="9" fontId="10" fillId="41" borderId="3" xfId="42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1" fontId="10" fillId="41" borderId="3" xfId="0" applyNumberFormat="1" applyFont="1" applyFill="1" applyBorder="1" applyAlignment="1">
      <alignment horizontal="center"/>
    </xf>
    <xf numFmtId="166" fontId="10" fillId="0" borderId="3" xfId="19" applyNumberFormat="1" applyFont="1" applyBorder="1" applyAlignment="1">
      <alignment horizontal="center"/>
    </xf>
    <xf numFmtId="165" fontId="10" fillId="41" borderId="3" xfId="0" applyNumberFormat="1" applyFont="1" applyFill="1" applyBorder="1" applyAlignment="1">
      <alignment horizontal="center"/>
    </xf>
    <xf numFmtId="171" fontId="10" fillId="41" borderId="14" xfId="0" applyNumberFormat="1" applyFont="1" applyFill="1" applyBorder="1" applyAlignment="1">
      <alignment horizontal="center"/>
    </xf>
    <xf numFmtId="171" fontId="10" fillId="41" borderId="3" xfId="0" applyNumberFormat="1" applyFont="1" applyFill="1" applyBorder="1" applyAlignment="1">
      <alignment horizontal="center"/>
    </xf>
    <xf numFmtId="44" fontId="10" fillId="0" borderId="3" xfId="21" applyFont="1" applyBorder="1"/>
    <xf numFmtId="0" fontId="12" fillId="0" borderId="14" xfId="0" applyFont="1" applyBorder="1" applyAlignment="1">
      <alignment horizontal="center"/>
    </xf>
    <xf numFmtId="164" fontId="10" fillId="41" borderId="3" xfId="21" applyNumberFormat="1" applyFont="1" applyFill="1" applyBorder="1" applyAlignment="1">
      <alignment horizontal="center"/>
    </xf>
    <xf numFmtId="164" fontId="10" fillId="41" borderId="14" xfId="21" applyNumberFormat="1" applyFont="1" applyFill="1" applyBorder="1" applyAlignment="1">
      <alignment horizontal="center"/>
    </xf>
    <xf numFmtId="165" fontId="10" fillId="41" borderId="14" xfId="0" applyNumberFormat="1" applyFont="1" applyFill="1" applyBorder="1" applyAlignment="1">
      <alignment horizontal="center"/>
    </xf>
    <xf numFmtId="166" fontId="10" fillId="0" borderId="3" xfId="19" applyNumberFormat="1" applyFont="1" applyFill="1" applyBorder="1" applyAlignment="1">
      <alignment horizontal="center"/>
    </xf>
    <xf numFmtId="0" fontId="10" fillId="0" borderId="21" xfId="0" applyFont="1" applyBorder="1" applyAlignment="1">
      <alignment horizontal="left"/>
    </xf>
    <xf numFmtId="0" fontId="12" fillId="0" borderId="21" xfId="0" applyFont="1" applyBorder="1"/>
    <xf numFmtId="0" fontId="10" fillId="41" borderId="19" xfId="0" applyFont="1" applyFill="1" applyBorder="1" applyAlignment="1">
      <alignment horizontal="center"/>
    </xf>
    <xf numFmtId="164" fontId="10" fillId="0" borderId="21" xfId="0" applyNumberFormat="1" applyFont="1" applyBorder="1"/>
    <xf numFmtId="3" fontId="10" fillId="41" borderId="3" xfId="0" applyNumberFormat="1" applyFont="1" applyFill="1" applyBorder="1" applyAlignment="1">
      <alignment horizontal="center"/>
    </xf>
    <xf numFmtId="166" fontId="10" fillId="41" borderId="14" xfId="19" applyNumberFormat="1" applyFont="1" applyFill="1" applyBorder="1" applyAlignment="1">
      <alignment horizontal="center"/>
    </xf>
    <xf numFmtId="0" fontId="10" fillId="0" borderId="3" xfId="0" applyFont="1" applyBorder="1"/>
    <xf numFmtId="166" fontId="10" fillId="41" borderId="22" xfId="19" applyNumberFormat="1" applyFont="1" applyFill="1" applyBorder="1" applyAlignment="1">
      <alignment horizontal="center"/>
    </xf>
    <xf numFmtId="176" fontId="10" fillId="41" borderId="22" xfId="19" applyNumberFormat="1" applyFont="1" applyFill="1" applyBorder="1" applyAlignment="1">
      <alignment horizontal="center"/>
    </xf>
    <xf numFmtId="172" fontId="10" fillId="41" borderId="22" xfId="42" applyNumberFormat="1" applyFont="1" applyFill="1" applyBorder="1" applyAlignment="1">
      <alignment horizontal="center"/>
    </xf>
    <xf numFmtId="44" fontId="10" fillId="41" borderId="22" xfId="21" applyFont="1" applyFill="1" applyBorder="1" applyAlignment="1">
      <alignment horizontal="center"/>
    </xf>
    <xf numFmtId="9" fontId="10" fillId="41" borderId="3" xfId="0" applyNumberFormat="1" applyFont="1" applyFill="1" applyBorder="1" applyAlignment="1">
      <alignment horizontal="center"/>
    </xf>
    <xf numFmtId="3" fontId="10" fillId="0" borderId="3" xfId="0" applyNumberFormat="1" applyFont="1" applyBorder="1" applyAlignment="1">
      <alignment horizontal="center"/>
    </xf>
    <xf numFmtId="9" fontId="12" fillId="0" borderId="22" xfId="0" applyNumberFormat="1" applyFont="1" applyBorder="1" applyAlignment="1">
      <alignment horizontal="center"/>
    </xf>
    <xf numFmtId="0" fontId="12" fillId="0" borderId="22" xfId="0" applyFont="1" applyBorder="1"/>
    <xf numFmtId="164" fontId="12" fillId="0" borderId="14" xfId="21" applyNumberFormat="1" applyFont="1" applyBorder="1"/>
    <xf numFmtId="0" fontId="10" fillId="41" borderId="3" xfId="19" applyNumberFormat="1" applyFont="1" applyFill="1" applyBorder="1" applyAlignment="1">
      <alignment horizontal="center"/>
    </xf>
    <xf numFmtId="0" fontId="10" fillId="34" borderId="0" xfId="0" applyFont="1" applyFill="1" applyAlignment="1">
      <alignment horizontal="center"/>
    </xf>
    <xf numFmtId="10" fontId="10" fillId="41" borderId="27" xfId="0" applyNumberFormat="1" applyFont="1" applyFill="1" applyBorder="1" applyAlignment="1">
      <alignment horizontal="center"/>
    </xf>
    <xf numFmtId="167" fontId="10" fillId="34" borderId="0" xfId="19" applyNumberFormat="1" applyFont="1" applyFill="1" applyBorder="1"/>
    <xf numFmtId="0" fontId="10" fillId="34" borderId="0" xfId="0" applyFont="1" applyFill="1" applyAlignment="1">
      <alignment horizontal="right" vertical="center"/>
    </xf>
    <xf numFmtId="14" fontId="37" fillId="43" borderId="34" xfId="33" applyFont="1" applyFill="1" applyBorder="1" applyAlignment="1" applyProtection="1">
      <alignment horizontal="left" vertical="top"/>
      <protection locked="0"/>
    </xf>
    <xf numFmtId="14" fontId="37" fillId="43" borderId="33" xfId="33" applyFont="1" applyFill="1" applyBorder="1" applyAlignment="1" applyProtection="1">
      <alignment horizontal="left" vertical="top"/>
      <protection locked="0"/>
    </xf>
    <xf numFmtId="14" fontId="37" fillId="43" borderId="33" xfId="33" applyFont="1" applyFill="1" applyBorder="1" applyAlignment="1" applyProtection="1">
      <alignment horizontal="center" vertical="top"/>
      <protection locked="0"/>
    </xf>
    <xf numFmtId="14" fontId="37" fillId="43" borderId="35" xfId="33" applyFont="1" applyFill="1" applyBorder="1" applyAlignment="1" applyProtection="1">
      <alignment horizontal="left" vertical="top" wrapText="1"/>
      <protection locked="0"/>
    </xf>
    <xf numFmtId="2" fontId="10" fillId="0" borderId="3" xfId="0" applyNumberFormat="1" applyFont="1" applyBorder="1" applyAlignment="1">
      <alignment horizontal="center"/>
    </xf>
    <xf numFmtId="0" fontId="10" fillId="0" borderId="3" xfId="0" applyFont="1" applyBorder="1" applyAlignment="1">
      <alignment horizontal="left"/>
    </xf>
    <xf numFmtId="14" fontId="37" fillId="43" borderId="36" xfId="33" applyFont="1" applyFill="1" applyBorder="1" applyAlignment="1" applyProtection="1">
      <alignment horizontal="center" vertical="top"/>
      <protection locked="0"/>
    </xf>
    <xf numFmtId="0" fontId="10" fillId="0" borderId="16" xfId="0" applyFont="1" applyBorder="1" applyAlignment="1">
      <alignment horizontal="left"/>
    </xf>
    <xf numFmtId="0" fontId="10" fillId="0" borderId="29" xfId="0" applyFont="1" applyBorder="1" applyAlignment="1">
      <alignment horizontal="left"/>
    </xf>
    <xf numFmtId="0" fontId="10" fillId="44" borderId="16" xfId="0" applyFont="1" applyFill="1" applyBorder="1" applyAlignment="1">
      <alignment horizontal="left"/>
    </xf>
    <xf numFmtId="0" fontId="12" fillId="0" borderId="29" xfId="0" applyFont="1" applyBorder="1" applyAlignment="1">
      <alignment horizontal="left"/>
    </xf>
    <xf numFmtId="0" fontId="12" fillId="0" borderId="28" xfId="0" applyFont="1" applyBorder="1" applyAlignment="1">
      <alignment horizontal="left"/>
    </xf>
    <xf numFmtId="0" fontId="10" fillId="0" borderId="28" xfId="0" applyFont="1" applyBorder="1" applyAlignment="1">
      <alignment horizontal="left"/>
    </xf>
    <xf numFmtId="0" fontId="10" fillId="0" borderId="20" xfId="0" applyFont="1" applyBorder="1" applyAlignment="1">
      <alignment horizontal="left"/>
    </xf>
    <xf numFmtId="164" fontId="10" fillId="41" borderId="22" xfId="19" applyNumberFormat="1" applyFont="1" applyFill="1" applyBorder="1" applyAlignment="1">
      <alignment horizontal="center"/>
    </xf>
    <xf numFmtId="164" fontId="10" fillId="0" borderId="3" xfId="21" applyNumberFormat="1" applyFont="1" applyFill="1" applyBorder="1"/>
    <xf numFmtId="44" fontId="10" fillId="0" borderId="3" xfId="21" applyFont="1" applyFill="1" applyBorder="1"/>
    <xf numFmtId="14" fontId="37" fillId="43" borderId="36" xfId="33" applyFont="1" applyFill="1" applyBorder="1" applyAlignment="1" applyProtection="1">
      <alignment horizontal="centerContinuous" vertical="top"/>
      <protection locked="0"/>
    </xf>
    <xf numFmtId="165" fontId="10" fillId="0" borderId="19" xfId="0" applyNumberFormat="1" applyFont="1" applyBorder="1" applyAlignment="1">
      <alignment horizontal="center"/>
    </xf>
    <xf numFmtId="14" fontId="37" fillId="43" borderId="33" xfId="33" applyFont="1" applyFill="1" applyBorder="1" applyAlignment="1" applyProtection="1">
      <alignment horizontal="center" vertical="top" wrapText="1"/>
      <protection locked="0"/>
    </xf>
    <xf numFmtId="165" fontId="10" fillId="41" borderId="5" xfId="0" applyNumberFormat="1" applyFont="1" applyFill="1" applyBorder="1" applyAlignment="1">
      <alignment horizontal="center"/>
    </xf>
    <xf numFmtId="165" fontId="10" fillId="41" borderId="9" xfId="0" applyNumberFormat="1" applyFont="1" applyFill="1" applyBorder="1" applyAlignment="1">
      <alignment horizontal="center"/>
    </xf>
    <xf numFmtId="165" fontId="10" fillId="41" borderId="16" xfId="0" applyNumberFormat="1" applyFont="1" applyFill="1" applyBorder="1" applyAlignment="1">
      <alignment horizontal="center"/>
    </xf>
    <xf numFmtId="0" fontId="10" fillId="0" borderId="19" xfId="0" applyFont="1" applyBorder="1" applyAlignment="1">
      <alignment horizontal="center"/>
    </xf>
    <xf numFmtId="166" fontId="10" fillId="0" borderId="3" xfId="19" applyNumberFormat="1" applyFont="1" applyBorder="1"/>
    <xf numFmtId="164" fontId="10" fillId="41" borderId="3" xfId="21" applyNumberFormat="1" applyFont="1" applyFill="1" applyBorder="1"/>
    <xf numFmtId="1" fontId="10" fillId="40" borderId="3" xfId="0" applyNumberFormat="1" applyFont="1" applyFill="1" applyBorder="1" applyAlignment="1">
      <alignment horizontal="center"/>
    </xf>
    <xf numFmtId="165" fontId="10" fillId="0" borderId="3" xfId="0" applyNumberFormat="1" applyFont="1" applyBorder="1" applyAlignment="1">
      <alignment horizontal="center"/>
    </xf>
    <xf numFmtId="165" fontId="10" fillId="0" borderId="16" xfId="0" applyNumberFormat="1" applyFont="1" applyBorder="1" applyAlignment="1">
      <alignment horizontal="center"/>
    </xf>
    <xf numFmtId="0" fontId="10" fillId="41" borderId="14" xfId="19" applyNumberFormat="1" applyFont="1" applyFill="1" applyBorder="1" applyAlignment="1">
      <alignment horizontal="center"/>
    </xf>
    <xf numFmtId="166" fontId="10" fillId="0" borderId="14" xfId="19" applyNumberFormat="1" applyFont="1" applyFill="1" applyBorder="1" applyAlignment="1">
      <alignment horizontal="center"/>
    </xf>
    <xf numFmtId="166" fontId="10" fillId="0" borderId="14" xfId="19" applyNumberFormat="1" applyFont="1" applyBorder="1" applyAlignment="1">
      <alignment horizontal="center"/>
    </xf>
    <xf numFmtId="166" fontId="10" fillId="0" borderId="0" xfId="19" applyNumberFormat="1" applyFont="1" applyBorder="1" applyAlignment="1">
      <alignment horizontal="center"/>
    </xf>
    <xf numFmtId="166" fontId="10" fillId="36" borderId="0" xfId="19" applyNumberFormat="1" applyFont="1" applyFill="1" applyBorder="1" applyAlignment="1">
      <alignment horizontal="center"/>
    </xf>
    <xf numFmtId="166" fontId="10" fillId="41" borderId="3" xfId="19" applyNumberFormat="1" applyFont="1" applyFill="1" applyBorder="1" applyAlignment="1">
      <alignment horizontal="center"/>
    </xf>
    <xf numFmtId="166" fontId="12" fillId="0" borderId="14" xfId="19" applyNumberFormat="1" applyFont="1" applyFill="1" applyBorder="1" applyAlignment="1">
      <alignment horizontal="center"/>
    </xf>
    <xf numFmtId="0" fontId="10" fillId="41" borderId="22" xfId="0" applyFont="1" applyFill="1" applyBorder="1"/>
    <xf numFmtId="171" fontId="10" fillId="0" borderId="16" xfId="0" applyNumberFormat="1" applyFont="1" applyBorder="1" applyAlignment="1">
      <alignment horizontal="center"/>
    </xf>
    <xf numFmtId="0" fontId="10" fillId="0" borderId="16" xfId="0" applyFont="1" applyBorder="1" applyAlignment="1">
      <alignment horizontal="left" wrapText="1"/>
    </xf>
    <xf numFmtId="3" fontId="10" fillId="41" borderId="5" xfId="0" applyNumberFormat="1" applyFont="1" applyFill="1" applyBorder="1" applyAlignment="1">
      <alignment horizontal="center"/>
    </xf>
    <xf numFmtId="9" fontId="10" fillId="41" borderId="20" xfId="0" applyNumberFormat="1" applyFont="1" applyFill="1" applyBorder="1" applyAlignment="1">
      <alignment horizontal="center"/>
    </xf>
    <xf numFmtId="44" fontId="10" fillId="41" borderId="14" xfId="21" applyFont="1" applyFill="1" applyBorder="1"/>
    <xf numFmtId="164" fontId="12" fillId="0" borderId="0" xfId="21" applyNumberFormat="1" applyFont="1" applyFill="1" applyBorder="1"/>
    <xf numFmtId="166" fontId="10" fillId="46" borderId="3" xfId="19" applyNumberFormat="1" applyFont="1" applyFill="1" applyBorder="1" applyAlignment="1">
      <alignment horizontal="center"/>
    </xf>
    <xf numFmtId="166" fontId="10" fillId="45" borderId="14" xfId="19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/>
    <xf numFmtId="164" fontId="10" fillId="0" borderId="14" xfId="19" applyNumberFormat="1" applyFont="1" applyBorder="1"/>
    <xf numFmtId="164" fontId="10" fillId="0" borderId="3" xfId="19" applyNumberFormat="1" applyFont="1" applyBorder="1"/>
    <xf numFmtId="164" fontId="10" fillId="0" borderId="0" xfId="19" applyNumberFormat="1" applyFont="1" applyBorder="1"/>
    <xf numFmtId="164" fontId="10" fillId="0" borderId="23" xfId="19" applyNumberFormat="1" applyFont="1" applyBorder="1"/>
    <xf numFmtId="164" fontId="10" fillId="36" borderId="0" xfId="19" applyNumberFormat="1" applyFont="1" applyFill="1" applyBorder="1"/>
    <xf numFmtId="164" fontId="10" fillId="0" borderId="3" xfId="19" applyNumberFormat="1" applyFont="1" applyFill="1" applyBorder="1"/>
    <xf numFmtId="164" fontId="10" fillId="0" borderId="14" xfId="19" applyNumberFormat="1" applyFont="1" applyFill="1" applyBorder="1"/>
    <xf numFmtId="164" fontId="10" fillId="41" borderId="3" xfId="19" applyNumberFormat="1" applyFont="1" applyFill="1" applyBorder="1"/>
    <xf numFmtId="164" fontId="10" fillId="0" borderId="21" xfId="19" applyNumberFormat="1" applyFont="1" applyBorder="1"/>
    <xf numFmtId="164" fontId="10" fillId="0" borderId="11" xfId="19" applyNumberFormat="1" applyFont="1" applyBorder="1"/>
    <xf numFmtId="169" fontId="10" fillId="34" borderId="0" xfId="19" applyNumberFormat="1" applyFont="1" applyFill="1" applyBorder="1"/>
    <xf numFmtId="164" fontId="10" fillId="0" borderId="14" xfId="21" applyNumberFormat="1" applyFont="1" applyFill="1" applyBorder="1"/>
    <xf numFmtId="1" fontId="10" fillId="0" borderId="14" xfId="0" applyNumberFormat="1" applyFont="1" applyBorder="1" applyAlignment="1">
      <alignment horizontal="center"/>
    </xf>
    <xf numFmtId="172" fontId="10" fillId="41" borderId="3" xfId="42" applyNumberFormat="1" applyFont="1" applyFill="1" applyBorder="1" applyAlignment="1">
      <alignment horizontal="center"/>
    </xf>
    <xf numFmtId="44" fontId="10" fillId="0" borderId="14" xfId="21" applyFont="1" applyBorder="1"/>
    <xf numFmtId="44" fontId="10" fillId="41" borderId="3" xfId="21" applyFont="1" applyFill="1" applyBorder="1"/>
    <xf numFmtId="44" fontId="10" fillId="0" borderId="14" xfId="21" applyFont="1" applyFill="1" applyBorder="1"/>
    <xf numFmtId="0" fontId="10" fillId="0" borderId="29" xfId="0" applyFont="1" applyBorder="1" applyAlignment="1">
      <alignment horizontal="left" wrapText="1"/>
    </xf>
    <xf numFmtId="0" fontId="12" fillId="0" borderId="10" xfId="0" applyFont="1" applyBorder="1"/>
    <xf numFmtId="0" fontId="12" fillId="0" borderId="10" xfId="0" applyFont="1" applyBorder="1" applyAlignment="1">
      <alignment horizontal="left"/>
    </xf>
    <xf numFmtId="14" fontId="37" fillId="43" borderId="36" xfId="33" applyFont="1" applyFill="1" applyBorder="1" applyAlignment="1" applyProtection="1">
      <alignment horizontal="left" vertical="top"/>
      <protection locked="0"/>
    </xf>
    <xf numFmtId="14" fontId="37" fillId="43" borderId="37" xfId="33" applyFont="1" applyFill="1" applyBorder="1" applyAlignment="1" applyProtection="1">
      <alignment horizontal="center" vertical="top" wrapText="1"/>
      <protection locked="0"/>
    </xf>
    <xf numFmtId="3" fontId="12" fillId="0" borderId="0" xfId="0" applyNumberFormat="1" applyFont="1"/>
    <xf numFmtId="164" fontId="12" fillId="0" borderId="0" xfId="0" applyNumberFormat="1" applyFont="1"/>
    <xf numFmtId="2" fontId="10" fillId="0" borderId="14" xfId="0" applyNumberFormat="1" applyFont="1" applyBorder="1" applyAlignment="1">
      <alignment horizontal="center"/>
    </xf>
    <xf numFmtId="2" fontId="10" fillId="34" borderId="3" xfId="0" applyNumberFormat="1" applyFont="1" applyFill="1" applyBorder="1" applyAlignment="1">
      <alignment horizontal="center"/>
    </xf>
    <xf numFmtId="2" fontId="10" fillId="41" borderId="3" xfId="0" applyNumberFormat="1" applyFont="1" applyFill="1" applyBorder="1" applyAlignment="1">
      <alignment horizontal="center"/>
    </xf>
    <xf numFmtId="2" fontId="12" fillId="0" borderId="14" xfId="0" applyNumberFormat="1" applyFont="1" applyBorder="1" applyAlignment="1">
      <alignment horizontal="center"/>
    </xf>
    <xf numFmtId="169" fontId="10" fillId="0" borderId="0" xfId="90" applyNumberFormat="1" applyFont="1" applyAlignment="1">
      <alignment horizontal="center" vertical="top"/>
    </xf>
    <xf numFmtId="2" fontId="35" fillId="0" borderId="3" xfId="0" applyNumberFormat="1" applyFont="1" applyBorder="1" applyAlignment="1">
      <alignment horizontal="center"/>
    </xf>
    <xf numFmtId="172" fontId="10" fillId="41" borderId="3" xfId="42" applyNumberFormat="1" applyFont="1" applyFill="1" applyBorder="1"/>
    <xf numFmtId="0" fontId="10" fillId="44" borderId="24" xfId="0" applyFont="1" applyFill="1" applyBorder="1" applyAlignment="1">
      <alignment horizontal="left"/>
    </xf>
    <xf numFmtId="0" fontId="10" fillId="0" borderId="38" xfId="0" applyFont="1" applyBorder="1" applyAlignment="1">
      <alignment horizontal="left"/>
    </xf>
    <xf numFmtId="0" fontId="10" fillId="0" borderId="17" xfId="0" applyFont="1" applyBorder="1" applyAlignment="1">
      <alignment horizontal="left"/>
    </xf>
    <xf numFmtId="0" fontId="10" fillId="42" borderId="16" xfId="0" applyFont="1" applyFill="1" applyBorder="1" applyAlignment="1">
      <alignment horizontal="left"/>
    </xf>
    <xf numFmtId="44" fontId="10" fillId="0" borderId="3" xfId="19" applyNumberFormat="1" applyFont="1" applyBorder="1"/>
    <xf numFmtId="44" fontId="10" fillId="0" borderId="3" xfId="21" applyFont="1" applyBorder="1" applyAlignment="1">
      <alignment horizontal="right"/>
    </xf>
    <xf numFmtId="165" fontId="10" fillId="41" borderId="29" xfId="0" applyNumberFormat="1" applyFont="1" applyFill="1" applyBorder="1" applyAlignment="1">
      <alignment horizontal="center"/>
    </xf>
    <xf numFmtId="0" fontId="10" fillId="41" borderId="29" xfId="0" applyFont="1" applyFill="1" applyBorder="1" applyAlignment="1">
      <alignment horizontal="center"/>
    </xf>
    <xf numFmtId="0" fontId="10" fillId="42" borderId="16" xfId="0" applyFont="1" applyFill="1" applyBorder="1" applyAlignment="1">
      <alignment horizontal="center"/>
    </xf>
    <xf numFmtId="0" fontId="10" fillId="41" borderId="16" xfId="0" applyFont="1" applyFill="1" applyBorder="1" applyAlignment="1">
      <alignment horizontal="center"/>
    </xf>
    <xf numFmtId="1" fontId="10" fillId="41" borderId="16" xfId="0" applyNumberFormat="1" applyFont="1" applyFill="1" applyBorder="1" applyAlignment="1">
      <alignment horizontal="center"/>
    </xf>
    <xf numFmtId="0" fontId="12" fillId="42" borderId="10" xfId="0" applyFont="1" applyFill="1" applyBorder="1"/>
    <xf numFmtId="0" fontId="10" fillId="42" borderId="15" xfId="0" applyFont="1" applyFill="1" applyBorder="1"/>
    <xf numFmtId="0" fontId="10" fillId="0" borderId="23" xfId="0" applyFont="1" applyBorder="1"/>
    <xf numFmtId="2" fontId="12" fillId="42" borderId="39" xfId="23" applyNumberFormat="1" applyFont="1" applyFill="1" applyBorder="1" applyAlignment="1" applyProtection="1">
      <alignment horizontal="center" vertical="center" wrapText="1"/>
      <protection locked="0"/>
    </xf>
    <xf numFmtId="0" fontId="10" fillId="0" borderId="5" xfId="0" applyFont="1" applyBorder="1" applyAlignment="1" applyProtection="1">
      <alignment horizontal="left" indent="1"/>
      <protection locked="0"/>
    </xf>
    <xf numFmtId="0" fontId="10" fillId="0" borderId="14" xfId="0" applyFont="1" applyBorder="1" applyAlignment="1" applyProtection="1">
      <alignment horizontal="left" indent="1"/>
      <protection locked="0"/>
    </xf>
    <xf numFmtId="14" fontId="37" fillId="47" borderId="11" xfId="33" applyFont="1" applyFill="1" applyBorder="1" applyAlignment="1" applyProtection="1">
      <alignment horizontal="left" vertical="top"/>
      <protection locked="0"/>
    </xf>
    <xf numFmtId="177" fontId="10" fillId="0" borderId="22" xfId="0" applyNumberFormat="1" applyFont="1" applyBorder="1"/>
    <xf numFmtId="0" fontId="12" fillId="0" borderId="16" xfId="0" applyFont="1" applyBorder="1" applyAlignment="1">
      <alignment horizontal="left"/>
    </xf>
    <xf numFmtId="176" fontId="10" fillId="0" borderId="3" xfId="19" applyNumberFormat="1" applyFont="1" applyBorder="1" applyAlignment="1">
      <alignment horizontal="center"/>
    </xf>
    <xf numFmtId="43" fontId="12" fillId="0" borderId="0" xfId="19" applyFont="1" applyFill="1" applyBorder="1"/>
    <xf numFmtId="0" fontId="12" fillId="0" borderId="17" xfId="0" applyFont="1" applyBorder="1"/>
    <xf numFmtId="3" fontId="12" fillId="0" borderId="17" xfId="0" applyNumberFormat="1" applyFont="1" applyBorder="1"/>
    <xf numFmtId="170" fontId="12" fillId="0" borderId="0" xfId="0" applyNumberFormat="1" applyFont="1"/>
    <xf numFmtId="169" fontId="12" fillId="0" borderId="0" xfId="0" applyNumberFormat="1" applyFont="1"/>
    <xf numFmtId="4" fontId="12" fillId="0" borderId="0" xfId="0" applyNumberFormat="1" applyFont="1"/>
    <xf numFmtId="4" fontId="12" fillId="0" borderId="17" xfId="0" applyNumberFormat="1" applyFont="1" applyBorder="1"/>
    <xf numFmtId="178" fontId="12" fillId="0" borderId="0" xfId="0" applyNumberFormat="1" applyFont="1"/>
    <xf numFmtId="0" fontId="10" fillId="0" borderId="17" xfId="0" applyFont="1" applyBorder="1"/>
    <xf numFmtId="169" fontId="12" fillId="0" borderId="17" xfId="0" applyNumberFormat="1" applyFont="1" applyBorder="1"/>
    <xf numFmtId="169" fontId="12" fillId="0" borderId="17" xfId="19" applyNumberFormat="1" applyFont="1" applyFill="1" applyBorder="1"/>
    <xf numFmtId="167" fontId="12" fillId="0" borderId="0" xfId="19" applyNumberFormat="1" applyFont="1" applyFill="1" applyBorder="1"/>
    <xf numFmtId="167" fontId="12" fillId="0" borderId="0" xfId="19" applyNumberFormat="1" applyFont="1" applyFill="1" applyBorder="1" applyAlignment="1">
      <alignment horizontal="center"/>
    </xf>
    <xf numFmtId="0" fontId="12" fillId="0" borderId="0" xfId="0" applyFont="1" applyAlignment="1">
      <alignment horizontal="left"/>
    </xf>
    <xf numFmtId="14" fontId="37" fillId="43" borderId="35" xfId="33" applyFont="1" applyFill="1" applyBorder="1" applyAlignment="1" applyProtection="1">
      <alignment horizontal="center" vertical="top" wrapText="1"/>
      <protection locked="0"/>
    </xf>
    <xf numFmtId="10" fontId="10" fillId="41" borderId="3" xfId="42" applyNumberFormat="1" applyFont="1" applyFill="1" applyBorder="1" applyAlignment="1">
      <alignment horizontal="center"/>
    </xf>
    <xf numFmtId="3" fontId="10" fillId="40" borderId="3" xfId="0" applyNumberFormat="1" applyFont="1" applyFill="1" applyBorder="1" applyAlignment="1">
      <alignment horizontal="center"/>
    </xf>
    <xf numFmtId="0" fontId="36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169" fontId="10" fillId="0" borderId="39" xfId="0" applyNumberFormat="1" applyFont="1" applyBorder="1" applyAlignment="1">
      <alignment horizontal="center"/>
    </xf>
    <xf numFmtId="169" fontId="10" fillId="0" borderId="3" xfId="0" applyNumberFormat="1" applyFont="1" applyBorder="1" applyAlignment="1">
      <alignment horizontal="center"/>
    </xf>
    <xf numFmtId="181" fontId="10" fillId="0" borderId="3" xfId="0" applyNumberFormat="1" applyFont="1" applyBorder="1" applyAlignment="1">
      <alignment horizontal="center"/>
    </xf>
    <xf numFmtId="4" fontId="10" fillId="0" borderId="3" xfId="0" applyNumberFormat="1" applyFont="1" applyBorder="1" applyAlignment="1">
      <alignment horizontal="center"/>
    </xf>
    <xf numFmtId="178" fontId="10" fillId="0" borderId="3" xfId="0" applyNumberFormat="1" applyFont="1" applyBorder="1" applyAlignment="1">
      <alignment horizontal="center"/>
    </xf>
    <xf numFmtId="0" fontId="0" fillId="0" borderId="0" xfId="0" quotePrefix="1" applyAlignment="1">
      <alignment horizontal="left"/>
    </xf>
    <xf numFmtId="164" fontId="10" fillId="41" borderId="14" xfId="19" applyNumberFormat="1" applyFont="1" applyFill="1" applyBorder="1"/>
    <xf numFmtId="164" fontId="10" fillId="0" borderId="0" xfId="0" applyNumberFormat="1" applyFont="1"/>
    <xf numFmtId="164" fontId="10" fillId="0" borderId="17" xfId="0" applyNumberFormat="1" applyFont="1" applyBorder="1"/>
    <xf numFmtId="3" fontId="12" fillId="0" borderId="0" xfId="0" applyNumberFormat="1" applyFont="1" applyAlignment="1">
      <alignment horizontal="right"/>
    </xf>
    <xf numFmtId="166" fontId="10" fillId="0" borderId="14" xfId="0" applyNumberFormat="1" applyFont="1" applyBorder="1" applyAlignment="1">
      <alignment horizontal="center"/>
    </xf>
    <xf numFmtId="166" fontId="10" fillId="0" borderId="3" xfId="0" applyNumberFormat="1" applyFont="1" applyBorder="1" applyAlignment="1">
      <alignment horizontal="center"/>
    </xf>
    <xf numFmtId="0" fontId="10" fillId="0" borderId="0" xfId="0" applyFont="1" applyAlignment="1">
      <alignment horizontal="right"/>
    </xf>
    <xf numFmtId="0" fontId="10" fillId="0" borderId="17" xfId="0" applyFont="1" applyBorder="1" applyAlignment="1">
      <alignment horizontal="right"/>
    </xf>
    <xf numFmtId="164" fontId="12" fillId="0" borderId="3" xfId="0" applyNumberFormat="1" applyFont="1" applyBorder="1"/>
    <xf numFmtId="0" fontId="12" fillId="0" borderId="3" xfId="0" applyFont="1" applyBorder="1"/>
    <xf numFmtId="0" fontId="10" fillId="42" borderId="20" xfId="0" applyFont="1" applyFill="1" applyBorder="1" applyAlignment="1">
      <alignment horizontal="left"/>
    </xf>
    <xf numFmtId="0" fontId="10" fillId="48" borderId="3" xfId="0" applyFont="1" applyFill="1" applyBorder="1" applyAlignment="1">
      <alignment horizontal="center"/>
    </xf>
    <xf numFmtId="0" fontId="12" fillId="49" borderId="18" xfId="0" applyFont="1" applyFill="1" applyBorder="1" applyAlignment="1">
      <alignment horizontal="left"/>
    </xf>
    <xf numFmtId="0" fontId="12" fillId="49" borderId="15" xfId="0" applyFont="1" applyFill="1" applyBorder="1" applyAlignment="1">
      <alignment horizontal="center"/>
    </xf>
    <xf numFmtId="0" fontId="10" fillId="49" borderId="15" xfId="0" applyFont="1" applyFill="1" applyBorder="1" applyAlignment="1">
      <alignment horizontal="center"/>
    </xf>
    <xf numFmtId="0" fontId="10" fillId="49" borderId="15" xfId="0" applyFont="1" applyFill="1" applyBorder="1"/>
    <xf numFmtId="166" fontId="10" fillId="49" borderId="15" xfId="19" applyNumberFormat="1" applyFont="1" applyFill="1" applyBorder="1"/>
    <xf numFmtId="164" fontId="10" fillId="49" borderId="15" xfId="21" applyNumberFormat="1" applyFont="1" applyFill="1" applyBorder="1"/>
    <xf numFmtId="164" fontId="10" fillId="49" borderId="15" xfId="19" applyNumberFormat="1" applyFont="1" applyFill="1" applyBorder="1"/>
    <xf numFmtId="164" fontId="10" fillId="49" borderId="26" xfId="19" applyNumberFormat="1" applyFont="1" applyFill="1" applyBorder="1"/>
    <xf numFmtId="166" fontId="10" fillId="49" borderId="15" xfId="19" applyNumberFormat="1" applyFont="1" applyFill="1" applyBorder="1" applyAlignment="1">
      <alignment horizontal="center"/>
    </xf>
    <xf numFmtId="3" fontId="10" fillId="49" borderId="15" xfId="0" applyNumberFormat="1" applyFont="1" applyFill="1" applyBorder="1" applyAlignment="1">
      <alignment horizontal="center"/>
    </xf>
    <xf numFmtId="2" fontId="10" fillId="49" borderId="15" xfId="0" applyNumberFormat="1" applyFont="1" applyFill="1" applyBorder="1" applyAlignment="1">
      <alignment horizontal="center"/>
    </xf>
    <xf numFmtId="0" fontId="38" fillId="49" borderId="30" xfId="0" applyFont="1" applyFill="1" applyBorder="1" applyAlignment="1">
      <alignment horizontal="left"/>
    </xf>
    <xf numFmtId="0" fontId="38" fillId="49" borderId="25" xfId="0" applyFont="1" applyFill="1" applyBorder="1" applyAlignment="1">
      <alignment horizontal="center"/>
    </xf>
    <xf numFmtId="0" fontId="10" fillId="49" borderId="25" xfId="0" applyFont="1" applyFill="1" applyBorder="1" applyAlignment="1">
      <alignment horizontal="center"/>
    </xf>
    <xf numFmtId="0" fontId="10" fillId="49" borderId="25" xfId="0" applyFont="1" applyFill="1" applyBorder="1"/>
    <xf numFmtId="166" fontId="10" fillId="49" borderId="25" xfId="19" applyNumberFormat="1" applyFont="1" applyFill="1" applyBorder="1"/>
    <xf numFmtId="164" fontId="10" fillId="49" borderId="25" xfId="21" applyNumberFormat="1" applyFont="1" applyFill="1" applyBorder="1"/>
    <xf numFmtId="164" fontId="10" fillId="49" borderId="25" xfId="19" applyNumberFormat="1" applyFont="1" applyFill="1" applyBorder="1"/>
    <xf numFmtId="164" fontId="10" fillId="49" borderId="31" xfId="19" applyNumberFormat="1" applyFont="1" applyFill="1" applyBorder="1"/>
    <xf numFmtId="0" fontId="12" fillId="49" borderId="18" xfId="0" applyFont="1" applyFill="1" applyBorder="1" applyAlignment="1">
      <alignment horizontal="center"/>
    </xf>
    <xf numFmtId="2" fontId="12" fillId="49" borderId="15" xfId="0" applyNumberFormat="1" applyFont="1" applyFill="1" applyBorder="1" applyAlignment="1">
      <alignment horizontal="center"/>
    </xf>
    <xf numFmtId="166" fontId="12" fillId="49" borderId="15" xfId="19" applyNumberFormat="1" applyFont="1" applyFill="1" applyBorder="1"/>
    <xf numFmtId="164" fontId="12" fillId="49" borderId="15" xfId="21" applyNumberFormat="1" applyFont="1" applyFill="1" applyBorder="1"/>
    <xf numFmtId="164" fontId="12" fillId="49" borderId="15" xfId="19" applyNumberFormat="1" applyFont="1" applyFill="1" applyBorder="1"/>
    <xf numFmtId="164" fontId="12" fillId="49" borderId="26" xfId="19" applyNumberFormat="1" applyFont="1" applyFill="1" applyBorder="1"/>
    <xf numFmtId="164" fontId="10" fillId="0" borderId="3" xfId="21" applyNumberFormat="1" applyFont="1" applyFill="1" applyBorder="1" applyAlignment="1">
      <alignment horizontal="center"/>
    </xf>
    <xf numFmtId="0" fontId="12" fillId="0" borderId="29" xfId="0" applyFont="1" applyBorder="1" applyAlignment="1">
      <alignment horizontal="center"/>
    </xf>
    <xf numFmtId="3" fontId="12" fillId="0" borderId="0" xfId="0" applyNumberFormat="1" applyFont="1" applyAlignment="1">
      <alignment horizontal="center"/>
    </xf>
    <xf numFmtId="171" fontId="10" fillId="0" borderId="0" xfId="0" applyNumberFormat="1" applyFont="1" applyAlignment="1">
      <alignment horizontal="center"/>
    </xf>
    <xf numFmtId="171" fontId="10" fillId="0" borderId="3" xfId="0" applyNumberFormat="1" applyFont="1" applyBorder="1" applyAlignment="1">
      <alignment horizontal="center"/>
    </xf>
    <xf numFmtId="166" fontId="10" fillId="0" borderId="19" xfId="0" applyNumberFormat="1" applyFont="1" applyBorder="1" applyAlignment="1">
      <alignment horizontal="left"/>
    </xf>
    <xf numFmtId="166" fontId="10" fillId="0" borderId="22" xfId="0" applyNumberFormat="1" applyFont="1" applyBorder="1" applyAlignment="1">
      <alignment horizontal="left"/>
    </xf>
    <xf numFmtId="43" fontId="10" fillId="0" borderId="3" xfId="19" applyFont="1" applyBorder="1" applyAlignment="1">
      <alignment horizontal="center"/>
    </xf>
    <xf numFmtId="2" fontId="33" fillId="0" borderId="14" xfId="23" applyNumberFormat="1" applyFont="1" applyFill="1" applyBorder="1" applyAlignment="1" applyProtection="1">
      <alignment horizontal="center" vertical="center" wrapText="1"/>
      <protection locked="0"/>
    </xf>
    <xf numFmtId="2" fontId="33" fillId="0" borderId="3" xfId="23" applyNumberFormat="1" applyFont="1" applyFill="1" applyBorder="1" applyAlignment="1" applyProtection="1">
      <alignment horizontal="center" vertical="center" wrapText="1"/>
      <protection locked="0"/>
    </xf>
    <xf numFmtId="0" fontId="33" fillId="0" borderId="0" xfId="0" applyFont="1"/>
    <xf numFmtId="44" fontId="33" fillId="0" borderId="5" xfId="0" applyNumberFormat="1" applyFont="1" applyBorder="1"/>
    <xf numFmtId="2" fontId="36" fillId="42" borderId="39" xfId="23" applyNumberFormat="1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Alignment="1">
      <alignment horizontal="right"/>
    </xf>
    <xf numFmtId="0" fontId="10" fillId="0" borderId="21" xfId="0" applyFont="1" applyBorder="1"/>
    <xf numFmtId="2" fontId="33" fillId="0" borderId="0" xfId="23" applyNumberFormat="1" applyFont="1" applyFill="1" applyBorder="1" applyAlignment="1" applyProtection="1">
      <alignment horizontal="center" vertical="center" wrapText="1"/>
      <protection locked="0"/>
    </xf>
    <xf numFmtId="3" fontId="12" fillId="49" borderId="15" xfId="0" applyNumberFormat="1" applyFont="1" applyFill="1" applyBorder="1" applyAlignment="1">
      <alignment horizontal="center"/>
    </xf>
    <xf numFmtId="3" fontId="38" fillId="49" borderId="25" xfId="0" applyNumberFormat="1" applyFont="1" applyFill="1" applyBorder="1" applyAlignment="1">
      <alignment horizontal="center"/>
    </xf>
    <xf numFmtId="3" fontId="10" fillId="0" borderId="21" xfId="0" applyNumberFormat="1" applyFont="1" applyBorder="1"/>
    <xf numFmtId="3" fontId="10" fillId="0" borderId="19" xfId="0" applyNumberFormat="1" applyFont="1" applyBorder="1"/>
    <xf numFmtId="3" fontId="10" fillId="0" borderId="0" xfId="0" applyNumberFormat="1" applyFont="1"/>
    <xf numFmtId="3" fontId="10" fillId="0" borderId="22" xfId="0" applyNumberFormat="1" applyFont="1" applyBorder="1"/>
    <xf numFmtId="3" fontId="10" fillId="0" borderId="19" xfId="0" applyNumberFormat="1" applyFont="1" applyBorder="1" applyAlignment="1">
      <alignment horizontal="center"/>
    </xf>
    <xf numFmtId="3" fontId="10" fillId="0" borderId="19" xfId="0" applyNumberFormat="1" applyFont="1" applyBorder="1" applyAlignment="1">
      <alignment horizontal="left"/>
    </xf>
    <xf numFmtId="164" fontId="10" fillId="42" borderId="3" xfId="21" applyNumberFormat="1" applyFont="1" applyFill="1" applyBorder="1" applyAlignment="1">
      <alignment horizontal="center"/>
    </xf>
    <xf numFmtId="182" fontId="10" fillId="41" borderId="3" xfId="19" applyNumberFormat="1" applyFont="1" applyFill="1" applyBorder="1"/>
    <xf numFmtId="183" fontId="10" fillId="41" borderId="3" xfId="19" applyNumberFormat="1" applyFont="1" applyFill="1" applyBorder="1"/>
    <xf numFmtId="184" fontId="10" fillId="41" borderId="3" xfId="19" applyNumberFormat="1" applyFont="1" applyFill="1" applyBorder="1"/>
    <xf numFmtId="166" fontId="12" fillId="49" borderId="15" xfId="19" applyNumberFormat="1" applyFont="1" applyFill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2" fillId="0" borderId="21" xfId="0" applyFont="1" applyBorder="1" applyAlignment="1">
      <alignment horizontal="center"/>
    </xf>
    <xf numFmtId="44" fontId="10" fillId="0" borderId="21" xfId="0" applyNumberFormat="1" applyFont="1" applyBorder="1" applyAlignment="1">
      <alignment horizontal="center"/>
    </xf>
    <xf numFmtId="9" fontId="10" fillId="0" borderId="19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" fontId="10" fillId="0" borderId="24" xfId="0" applyNumberFormat="1" applyFont="1" applyBorder="1"/>
    <xf numFmtId="164" fontId="10" fillId="0" borderId="7" xfId="19" applyNumberFormat="1" applyFont="1" applyFill="1" applyBorder="1"/>
    <xf numFmtId="3" fontId="12" fillId="49" borderId="26" xfId="0" applyNumberFormat="1" applyFont="1" applyFill="1" applyBorder="1" applyAlignment="1">
      <alignment horizontal="center"/>
    </xf>
    <xf numFmtId="9" fontId="10" fillId="41" borderId="16" xfId="42" applyFont="1" applyFill="1" applyBorder="1" applyAlignment="1">
      <alignment horizontal="center"/>
    </xf>
    <xf numFmtId="1" fontId="10" fillId="41" borderId="24" xfId="0" applyNumberFormat="1" applyFont="1" applyFill="1" applyBorder="1" applyAlignment="1">
      <alignment horizontal="center"/>
    </xf>
    <xf numFmtId="0" fontId="39" fillId="0" borderId="19" xfId="0" applyFont="1" applyBorder="1"/>
    <xf numFmtId="0" fontId="10" fillId="0" borderId="6" xfId="0" applyFont="1" applyBorder="1"/>
    <xf numFmtId="0" fontId="12" fillId="0" borderId="14" xfId="0" applyFont="1" applyBorder="1"/>
    <xf numFmtId="3" fontId="35" fillId="0" borderId="22" xfId="0" applyNumberFormat="1" applyFont="1" applyBorder="1"/>
    <xf numFmtId="3" fontId="39" fillId="0" borderId="19" xfId="0" applyNumberFormat="1" applyFont="1" applyBorder="1"/>
    <xf numFmtId="3" fontId="35" fillId="0" borderId="19" xfId="0" applyNumberFormat="1" applyFont="1" applyBorder="1"/>
    <xf numFmtId="3" fontId="12" fillId="0" borderId="22" xfId="42" applyNumberFormat="1" applyFont="1" applyFill="1" applyBorder="1" applyAlignment="1">
      <alignment horizontal="right"/>
    </xf>
    <xf numFmtId="172" fontId="10" fillId="0" borderId="3" xfId="42" applyNumberFormat="1" applyFont="1" applyFill="1" applyBorder="1" applyAlignment="1">
      <alignment horizontal="center"/>
    </xf>
    <xf numFmtId="172" fontId="10" fillId="0" borderId="6" xfId="42" applyNumberFormat="1" applyFont="1" applyFill="1" applyBorder="1" applyAlignment="1">
      <alignment horizontal="center"/>
    </xf>
    <xf numFmtId="165" fontId="10" fillId="0" borderId="3" xfId="0" applyNumberFormat="1" applyFont="1" applyBorder="1"/>
    <xf numFmtId="0" fontId="10" fillId="0" borderId="0" xfId="0" quotePrefix="1" applyFont="1"/>
    <xf numFmtId="176" fontId="10" fillId="0" borderId="3" xfId="19" applyNumberFormat="1" applyFont="1" applyFill="1" applyBorder="1" applyAlignment="1">
      <alignment horizontal="center"/>
    </xf>
    <xf numFmtId="3" fontId="10" fillId="0" borderId="5" xfId="0" applyNumberFormat="1" applyFont="1" applyBorder="1" applyAlignment="1">
      <alignment horizontal="center"/>
    </xf>
    <xf numFmtId="165" fontId="10" fillId="0" borderId="9" xfId="0" applyNumberFormat="1" applyFont="1" applyBorder="1" applyAlignment="1">
      <alignment horizontal="center"/>
    </xf>
    <xf numFmtId="171" fontId="10" fillId="0" borderId="9" xfId="0" applyNumberFormat="1" applyFont="1" applyBorder="1" applyAlignment="1">
      <alignment horizontal="center"/>
    </xf>
    <xf numFmtId="0" fontId="35" fillId="0" borderId="22" xfId="0" applyFont="1" applyBorder="1"/>
    <xf numFmtId="0" fontId="35" fillId="0" borderId="19" xfId="0" applyFont="1" applyBorder="1"/>
    <xf numFmtId="0" fontId="10" fillId="0" borderId="29" xfId="0" applyFont="1" applyBorder="1" applyAlignment="1">
      <alignment horizontal="right"/>
    </xf>
    <xf numFmtId="0" fontId="10" fillId="0" borderId="16" xfId="0" applyFont="1" applyBorder="1" applyAlignment="1">
      <alignment horizontal="right"/>
    </xf>
    <xf numFmtId="0" fontId="35" fillId="0" borderId="16" xfId="0" applyFont="1" applyBorder="1" applyAlignment="1">
      <alignment horizontal="right"/>
    </xf>
    <xf numFmtId="0" fontId="35" fillId="0" borderId="16" xfId="0" applyFont="1" applyBorder="1"/>
    <xf numFmtId="0" fontId="35" fillId="0" borderId="29" xfId="0" applyFont="1" applyBorder="1"/>
    <xf numFmtId="0" fontId="12" fillId="0" borderId="22" xfId="0" applyFont="1" applyBorder="1" applyAlignment="1">
      <alignment horizontal="left"/>
    </xf>
    <xf numFmtId="171" fontId="10" fillId="0" borderId="5" xfId="0" applyNumberFormat="1" applyFont="1" applyBorder="1" applyAlignment="1">
      <alignment horizontal="center"/>
    </xf>
    <xf numFmtId="0" fontId="35" fillId="0" borderId="22" xfId="0" applyFont="1" applyBorder="1" applyAlignment="1">
      <alignment horizontal="center"/>
    </xf>
    <xf numFmtId="0" fontId="39" fillId="0" borderId="1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12" fillId="0" borderId="22" xfId="0" applyFont="1" applyBorder="1" applyAlignment="1">
      <alignment horizontal="center"/>
    </xf>
    <xf numFmtId="165" fontId="10" fillId="0" borderId="22" xfId="0" applyNumberFormat="1" applyFont="1" applyBorder="1" applyAlignment="1">
      <alignment horizontal="center"/>
    </xf>
    <xf numFmtId="3" fontId="10" fillId="0" borderId="9" xfId="0" applyNumberFormat="1" applyFont="1" applyBorder="1" applyAlignment="1">
      <alignment horizontal="center"/>
    </xf>
    <xf numFmtId="169" fontId="10" fillId="0" borderId="22" xfId="0" applyNumberFormat="1" applyFont="1" applyBorder="1" applyAlignment="1">
      <alignment horizontal="center"/>
    </xf>
    <xf numFmtId="169" fontId="35" fillId="0" borderId="22" xfId="0" applyNumberFormat="1" applyFont="1" applyBorder="1" applyAlignment="1">
      <alignment horizontal="center"/>
    </xf>
    <xf numFmtId="169" fontId="39" fillId="0" borderId="19" xfId="0" applyNumberFormat="1" applyFont="1" applyBorder="1" applyAlignment="1">
      <alignment horizontal="center"/>
    </xf>
    <xf numFmtId="169" fontId="35" fillId="0" borderId="19" xfId="0" applyNumberFormat="1" applyFont="1" applyBorder="1" applyAlignment="1">
      <alignment horizontal="center"/>
    </xf>
    <xf numFmtId="3" fontId="12" fillId="0" borderId="11" xfId="0" applyNumberFormat="1" applyFont="1" applyBorder="1" applyAlignment="1">
      <alignment horizontal="center"/>
    </xf>
    <xf numFmtId="3" fontId="10" fillId="0" borderId="23" xfId="0" applyNumberFormat="1" applyFont="1" applyBorder="1" applyAlignment="1">
      <alignment horizontal="center"/>
    </xf>
    <xf numFmtId="169" fontId="10" fillId="0" borderId="19" xfId="0" applyNumberFormat="1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171" fontId="10" fillId="0" borderId="11" xfId="0" applyNumberFormat="1" applyFont="1" applyBorder="1" applyAlignment="1">
      <alignment horizontal="center"/>
    </xf>
    <xf numFmtId="1" fontId="10" fillId="0" borderId="23" xfId="0" applyNumberFormat="1" applyFont="1" applyBorder="1" applyAlignment="1">
      <alignment horizontal="center"/>
    </xf>
    <xf numFmtId="9" fontId="12" fillId="0" borderId="22" xfId="42" applyFont="1" applyFill="1" applyBorder="1" applyAlignment="1">
      <alignment horizontal="center"/>
    </xf>
    <xf numFmtId="166" fontId="10" fillId="0" borderId="6" xfId="19" applyNumberFormat="1" applyFont="1" applyFill="1" applyBorder="1" applyAlignment="1">
      <alignment horizontal="center"/>
    </xf>
    <xf numFmtId="3" fontId="10" fillId="0" borderId="0" xfId="0" applyNumberFormat="1" applyFont="1" applyAlignment="1">
      <alignment horizontal="right"/>
    </xf>
    <xf numFmtId="3" fontId="10" fillId="0" borderId="11" xfId="19" applyNumberFormat="1" applyFont="1" applyFill="1" applyBorder="1" applyAlignment="1">
      <alignment horizontal="center"/>
    </xf>
    <xf numFmtId="165" fontId="10" fillId="0" borderId="16" xfId="0" applyNumberFormat="1" applyFont="1" applyBorder="1" applyAlignment="1">
      <alignment horizontal="right"/>
    </xf>
    <xf numFmtId="1" fontId="10" fillId="41" borderId="14" xfId="0" applyNumberFormat="1" applyFont="1" applyFill="1" applyBorder="1" applyAlignment="1">
      <alignment horizontal="center"/>
    </xf>
    <xf numFmtId="2" fontId="10" fillId="0" borderId="14" xfId="19" applyNumberFormat="1" applyFont="1" applyFill="1" applyBorder="1" applyAlignment="1">
      <alignment horizontal="center"/>
    </xf>
    <xf numFmtId="2" fontId="10" fillId="0" borderId="21" xfId="0" applyNumberFormat="1" applyFont="1" applyBorder="1" applyAlignment="1">
      <alignment horizontal="center"/>
    </xf>
    <xf numFmtId="166" fontId="10" fillId="0" borderId="21" xfId="19" applyNumberFormat="1" applyFont="1" applyFill="1" applyBorder="1" applyAlignment="1">
      <alignment horizontal="center"/>
    </xf>
    <xf numFmtId="0" fontId="10" fillId="0" borderId="21" xfId="0" applyFont="1" applyBorder="1" applyAlignment="1">
      <alignment horizontal="center"/>
    </xf>
    <xf numFmtId="164" fontId="10" fillId="0" borderId="21" xfId="21" applyNumberFormat="1" applyFont="1" applyFill="1" applyBorder="1"/>
    <xf numFmtId="9" fontId="10" fillId="0" borderId="3" xfId="0" applyNumberFormat="1" applyFont="1" applyBorder="1" applyAlignment="1">
      <alignment horizontal="center"/>
    </xf>
    <xf numFmtId="165" fontId="10" fillId="42" borderId="3" xfId="0" applyNumberFormat="1" applyFont="1" applyFill="1" applyBorder="1" applyAlignment="1">
      <alignment horizontal="center"/>
    </xf>
    <xf numFmtId="169" fontId="10" fillId="41" borderId="14" xfId="0" applyNumberFormat="1" applyFont="1" applyFill="1" applyBorder="1" applyAlignment="1">
      <alignment horizontal="center"/>
    </xf>
    <xf numFmtId="169" fontId="35" fillId="41" borderId="14" xfId="0" applyNumberFormat="1" applyFont="1" applyFill="1" applyBorder="1" applyAlignment="1">
      <alignment horizontal="center"/>
    </xf>
    <xf numFmtId="169" fontId="39" fillId="41" borderId="3" xfId="0" applyNumberFormat="1" applyFont="1" applyFill="1" applyBorder="1" applyAlignment="1">
      <alignment horizontal="center"/>
    </xf>
    <xf numFmtId="169" fontId="35" fillId="41" borderId="3" xfId="0" applyNumberFormat="1" applyFont="1" applyFill="1" applyBorder="1" applyAlignment="1">
      <alignment horizontal="center"/>
    </xf>
    <xf numFmtId="0" fontId="39" fillId="41" borderId="3" xfId="0" applyFont="1" applyFill="1" applyBorder="1" applyAlignment="1">
      <alignment horizontal="center"/>
    </xf>
    <xf numFmtId="3" fontId="10" fillId="0" borderId="7" xfId="0" applyNumberFormat="1" applyFont="1" applyBorder="1" applyAlignment="1">
      <alignment horizontal="center"/>
    </xf>
    <xf numFmtId="169" fontId="10" fillId="41" borderId="3" xfId="0" applyNumberFormat="1" applyFont="1" applyFill="1" applyBorder="1" applyAlignment="1">
      <alignment horizontal="center"/>
    </xf>
    <xf numFmtId="171" fontId="10" fillId="0" borderId="7" xfId="0" applyNumberFormat="1" applyFont="1" applyBorder="1" applyAlignment="1">
      <alignment horizontal="center"/>
    </xf>
    <xf numFmtId="0" fontId="10" fillId="41" borderId="5" xfId="0" applyFont="1" applyFill="1" applyBorder="1" applyAlignment="1">
      <alignment horizontal="center"/>
    </xf>
    <xf numFmtId="3" fontId="10" fillId="0" borderId="0" xfId="0" applyNumberFormat="1" applyFont="1" applyAlignment="1">
      <alignment horizontal="center"/>
    </xf>
    <xf numFmtId="44" fontId="10" fillId="0" borderId="0" xfId="21" applyFont="1" applyFill="1" applyBorder="1" applyAlignment="1">
      <alignment horizontal="center"/>
    </xf>
    <xf numFmtId="168" fontId="10" fillId="0" borderId="0" xfId="0" applyNumberFormat="1" applyFont="1" applyAlignment="1">
      <alignment horizontal="right"/>
    </xf>
    <xf numFmtId="168" fontId="15" fillId="0" borderId="0" xfId="0" applyNumberFormat="1" applyFont="1" applyAlignment="1">
      <alignment horizontal="right"/>
    </xf>
    <xf numFmtId="14" fontId="10" fillId="0" borderId="0" xfId="0" applyNumberFormat="1" applyFont="1" applyAlignment="1">
      <alignment horizontal="center"/>
    </xf>
    <xf numFmtId="0" fontId="8" fillId="41" borderId="0" xfId="90" applyFill="1"/>
    <xf numFmtId="0" fontId="10" fillId="0" borderId="0" xfId="0" quotePrefix="1" applyFont="1" applyAlignment="1">
      <alignment horizontal="left"/>
    </xf>
    <xf numFmtId="0" fontId="12" fillId="0" borderId="0" xfId="0" applyFont="1" applyAlignment="1" applyProtection="1">
      <alignment horizontal="center"/>
      <protection locked="0"/>
    </xf>
    <xf numFmtId="164" fontId="40" fillId="0" borderId="0" xfId="41" applyNumberFormat="1" applyFont="1" applyFill="1" applyBorder="1" applyAlignment="1" applyProtection="1">
      <alignment horizontal="center"/>
      <protection locked="0"/>
    </xf>
    <xf numFmtId="0" fontId="8" fillId="0" borderId="0" xfId="90"/>
    <xf numFmtId="185" fontId="8" fillId="0" borderId="0" xfId="19" applyNumberFormat="1" applyFont="1" applyFill="1" applyBorder="1"/>
    <xf numFmtId="2" fontId="0" fillId="0" borderId="0" xfId="91" applyNumberFormat="1" applyFont="1" applyFill="1" applyBorder="1"/>
    <xf numFmtId="14" fontId="37" fillId="43" borderId="0" xfId="33" applyFont="1" applyFill="1" applyAlignment="1" applyProtection="1">
      <alignment horizontal="left" vertical="top" wrapText="1"/>
      <protection locked="0"/>
    </xf>
    <xf numFmtId="14" fontId="37" fillId="43" borderId="0" xfId="33" applyFont="1" applyFill="1" applyAlignment="1" applyProtection="1">
      <alignment horizontal="center" vertical="top" wrapText="1"/>
      <protection locked="0"/>
    </xf>
    <xf numFmtId="0" fontId="12" fillId="49" borderId="15" xfId="0" applyFont="1" applyFill="1" applyBorder="1" applyAlignment="1">
      <alignment horizontal="right"/>
    </xf>
    <xf numFmtId="166" fontId="10" fillId="49" borderId="9" xfId="19" applyNumberFormat="1" applyFont="1" applyFill="1" applyBorder="1"/>
    <xf numFmtId="0" fontId="10" fillId="49" borderId="26" xfId="0" applyFont="1" applyFill="1" applyBorder="1"/>
    <xf numFmtId="164" fontId="12" fillId="49" borderId="9" xfId="19" applyNumberFormat="1" applyFont="1" applyFill="1" applyBorder="1"/>
    <xf numFmtId="0" fontId="30" fillId="49" borderId="15" xfId="0" applyFont="1" applyFill="1" applyBorder="1" applyAlignment="1">
      <alignment horizontal="right"/>
    </xf>
    <xf numFmtId="3" fontId="12" fillId="49" borderId="15" xfId="0" applyNumberFormat="1" applyFont="1" applyFill="1" applyBorder="1"/>
    <xf numFmtId="164" fontId="12" fillId="49" borderId="8" xfId="19" applyNumberFormat="1" applyFont="1" applyFill="1" applyBorder="1"/>
    <xf numFmtId="164" fontId="12" fillId="49" borderId="39" xfId="19" applyNumberFormat="1" applyFont="1" applyFill="1" applyBorder="1"/>
    <xf numFmtId="0" fontId="10" fillId="49" borderId="0" xfId="0" applyFont="1" applyFill="1"/>
    <xf numFmtId="0" fontId="10" fillId="41" borderId="40" xfId="0" applyFont="1" applyFill="1" applyBorder="1" applyAlignment="1">
      <alignment horizontal="center"/>
    </xf>
    <xf numFmtId="0" fontId="10" fillId="41" borderId="6" xfId="0" applyFont="1" applyFill="1" applyBorder="1" applyAlignment="1">
      <alignment horizontal="center"/>
    </xf>
    <xf numFmtId="3" fontId="10" fillId="41" borderId="12" xfId="0" applyNumberFormat="1" applyFont="1" applyFill="1" applyBorder="1" applyAlignment="1">
      <alignment horizontal="center"/>
    </xf>
    <xf numFmtId="0" fontId="10" fillId="41" borderId="7" xfId="0" applyFont="1" applyFill="1" applyBorder="1" applyAlignment="1">
      <alignment horizontal="center"/>
    </xf>
    <xf numFmtId="0" fontId="10" fillId="41" borderId="43" xfId="0" applyFont="1" applyFill="1" applyBorder="1" applyAlignment="1">
      <alignment horizontal="center"/>
    </xf>
    <xf numFmtId="0" fontId="30" fillId="0" borderId="0" xfId="96" applyFont="1" applyAlignment="1">
      <alignment horizontal="left"/>
    </xf>
    <xf numFmtId="0" fontId="10" fillId="0" borderId="0" xfId="96" applyFont="1" applyAlignment="1">
      <alignment horizontal="center"/>
    </xf>
    <xf numFmtId="0" fontId="10" fillId="0" borderId="0" xfId="96" applyFont="1"/>
    <xf numFmtId="0" fontId="7" fillId="0" borderId="0" xfId="96"/>
    <xf numFmtId="0" fontId="10" fillId="0" borderId="0" xfId="96" applyFont="1" applyAlignment="1">
      <alignment horizontal="left"/>
    </xf>
    <xf numFmtId="0" fontId="10" fillId="41" borderId="22" xfId="96" quotePrefix="1" applyFont="1" applyFill="1" applyBorder="1"/>
    <xf numFmtId="14" fontId="10" fillId="41" borderId="22" xfId="96" applyNumberFormat="1" applyFont="1" applyFill="1" applyBorder="1" applyAlignment="1">
      <alignment horizontal="left"/>
    </xf>
    <xf numFmtId="14" fontId="10" fillId="41" borderId="19" xfId="96" applyNumberFormat="1" applyFont="1" applyFill="1" applyBorder="1" applyAlignment="1">
      <alignment horizontal="left"/>
    </xf>
    <xf numFmtId="0" fontId="10" fillId="41" borderId="19" xfId="96" applyFont="1" applyFill="1" applyBorder="1"/>
    <xf numFmtId="0" fontId="10" fillId="41" borderId="22" xfId="96" quotePrefix="1" applyFont="1" applyFill="1" applyBorder="1" applyAlignment="1">
      <alignment horizontal="left"/>
    </xf>
    <xf numFmtId="14" fontId="36" fillId="47" borderId="11" xfId="33" applyFont="1" applyFill="1" applyBorder="1" applyAlignment="1" applyProtection="1">
      <alignment horizontal="left" vertical="top"/>
      <protection locked="0"/>
    </xf>
    <xf numFmtId="179" fontId="10" fillId="0" borderId="0" xfId="0" applyNumberFormat="1" applyFont="1" applyAlignment="1">
      <alignment horizontal="center"/>
    </xf>
    <xf numFmtId="38" fontId="10" fillId="0" borderId="0" xfId="0" applyNumberFormat="1" applyFont="1"/>
    <xf numFmtId="38" fontId="10" fillId="46" borderId="0" xfId="0" applyNumberFormat="1" applyFont="1" applyFill="1"/>
    <xf numFmtId="180" fontId="10" fillId="46" borderId="0" xfId="42" applyNumberFormat="1" applyFont="1" applyFill="1"/>
    <xf numFmtId="180" fontId="10" fillId="0" borderId="0" xfId="42" applyNumberFormat="1" applyFont="1"/>
    <xf numFmtId="14" fontId="37" fillId="43" borderId="42" xfId="33" applyFont="1" applyFill="1" applyBorder="1" applyAlignment="1" applyProtection="1">
      <alignment horizontal="center" vertical="top" wrapText="1"/>
      <protection locked="0"/>
    </xf>
    <xf numFmtId="0" fontId="12" fillId="49" borderId="15" xfId="0" applyFont="1" applyFill="1" applyBorder="1"/>
    <xf numFmtId="9" fontId="12" fillId="49" borderId="15" xfId="42" applyFont="1" applyFill="1" applyBorder="1" applyAlignment="1"/>
    <xf numFmtId="0" fontId="10" fillId="41" borderId="3" xfId="0" applyFont="1" applyFill="1" applyBorder="1"/>
    <xf numFmtId="0" fontId="38" fillId="49" borderId="38" xfId="0" applyFont="1" applyFill="1" applyBorder="1"/>
    <xf numFmtId="3" fontId="12" fillId="40" borderId="0" xfId="0" applyNumberFormat="1" applyFont="1" applyFill="1"/>
    <xf numFmtId="0" fontId="10" fillId="0" borderId="23" xfId="0" applyFont="1" applyBorder="1" applyAlignment="1">
      <alignment horizontal="center"/>
    </xf>
    <xf numFmtId="0" fontId="10" fillId="0" borderId="20" xfId="0" applyFont="1" applyBorder="1"/>
    <xf numFmtId="0" fontId="10" fillId="41" borderId="40" xfId="0" applyFont="1" applyFill="1" applyBorder="1"/>
    <xf numFmtId="0" fontId="10" fillId="41" borderId="14" xfId="0" applyFont="1" applyFill="1" applyBorder="1"/>
    <xf numFmtId="0" fontId="10" fillId="41" borderId="13" xfId="0" applyFont="1" applyFill="1" applyBorder="1"/>
    <xf numFmtId="164" fontId="10" fillId="41" borderId="14" xfId="19" applyNumberFormat="1" applyFont="1" applyFill="1" applyBorder="1" applyAlignment="1">
      <alignment horizontal="center"/>
    </xf>
    <xf numFmtId="9" fontId="10" fillId="41" borderId="5" xfId="42" applyFont="1" applyFill="1" applyBorder="1" applyAlignment="1">
      <alignment horizontal="center"/>
    </xf>
    <xf numFmtId="164" fontId="10" fillId="41" borderId="3" xfId="0" applyNumberFormat="1" applyFont="1" applyFill="1" applyBorder="1" applyAlignment="1">
      <alignment horizontal="center"/>
    </xf>
    <xf numFmtId="9" fontId="10" fillId="41" borderId="5" xfId="42" applyFont="1" applyFill="1" applyBorder="1" applyAlignment="1"/>
    <xf numFmtId="0" fontId="10" fillId="41" borderId="7" xfId="0" applyFont="1" applyFill="1" applyBorder="1"/>
    <xf numFmtId="9" fontId="10" fillId="41" borderId="7" xfId="42" applyFont="1" applyFill="1" applyBorder="1" applyAlignment="1">
      <alignment horizontal="center"/>
    </xf>
    <xf numFmtId="9" fontId="10" fillId="41" borderId="7" xfId="42" applyFont="1" applyFill="1" applyBorder="1" applyAlignment="1"/>
    <xf numFmtId="9" fontId="10" fillId="41" borderId="3" xfId="42" applyFont="1" applyFill="1" applyBorder="1" applyAlignment="1"/>
    <xf numFmtId="9" fontId="10" fillId="0" borderId="20" xfId="0" applyNumberFormat="1" applyFont="1" applyBorder="1" applyAlignment="1">
      <alignment horizontal="center"/>
    </xf>
    <xf numFmtId="9" fontId="10" fillId="41" borderId="14" xfId="42" applyFont="1" applyFill="1" applyBorder="1" applyAlignment="1">
      <alignment horizontal="center"/>
    </xf>
    <xf numFmtId="9" fontId="10" fillId="41" borderId="14" xfId="42" applyFont="1" applyFill="1" applyBorder="1" applyAlignment="1"/>
    <xf numFmtId="164" fontId="10" fillId="41" borderId="12" xfId="0" applyNumberFormat="1" applyFont="1" applyFill="1" applyBorder="1" applyAlignment="1">
      <alignment horizontal="center"/>
    </xf>
    <xf numFmtId="171" fontId="10" fillId="0" borderId="40" xfId="0" applyNumberFormat="1" applyFont="1" applyBorder="1" applyAlignment="1">
      <alignment horizontal="center"/>
    </xf>
    <xf numFmtId="171" fontId="10" fillId="0" borderId="14" xfId="0" applyNumberFormat="1" applyFont="1" applyBorder="1" applyAlignment="1">
      <alignment horizontal="center"/>
    </xf>
    <xf numFmtId="171" fontId="10" fillId="0" borderId="6" xfId="0" applyNumberFormat="1" applyFont="1" applyBorder="1" applyAlignment="1">
      <alignment horizontal="center"/>
    </xf>
    <xf numFmtId="9" fontId="10" fillId="0" borderId="3" xfId="42" applyFont="1" applyFill="1" applyBorder="1" applyAlignment="1">
      <alignment horizontal="center"/>
    </xf>
    <xf numFmtId="0" fontId="10" fillId="0" borderId="16" xfId="0" applyFont="1" applyBorder="1" applyAlignment="1">
      <alignment horizontal="center"/>
    </xf>
    <xf numFmtId="44" fontId="10" fillId="0" borderId="21" xfId="0" applyNumberFormat="1" applyFont="1" applyBorder="1"/>
    <xf numFmtId="0" fontId="10" fillId="0" borderId="24" xfId="0" applyFont="1" applyBorder="1" applyAlignment="1">
      <alignment horizontal="center"/>
    </xf>
    <xf numFmtId="166" fontId="10" fillId="0" borderId="40" xfId="19" applyNumberFormat="1" applyFont="1" applyFill="1" applyBorder="1" applyAlignment="1">
      <alignment horizontal="center"/>
    </xf>
    <xf numFmtId="166" fontId="10" fillId="0" borderId="43" xfId="19" applyNumberFormat="1" applyFont="1" applyFill="1" applyBorder="1" applyAlignment="1">
      <alignment horizontal="center"/>
    </xf>
    <xf numFmtId="0" fontId="10" fillId="0" borderId="30" xfId="0" applyFont="1" applyBorder="1" applyAlignment="1">
      <alignment horizontal="center"/>
    </xf>
    <xf numFmtId="9" fontId="10" fillId="0" borderId="30" xfId="0" applyNumberFormat="1" applyFont="1" applyBorder="1" applyAlignment="1">
      <alignment horizontal="center"/>
    </xf>
    <xf numFmtId="9" fontId="10" fillId="0" borderId="16" xfId="0" applyNumberFormat="1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40" xfId="0" applyFont="1" applyBorder="1" applyAlignment="1">
      <alignment horizontal="center"/>
    </xf>
    <xf numFmtId="0" fontId="12" fillId="0" borderId="7" xfId="0" applyFont="1" applyBorder="1"/>
    <xf numFmtId="0" fontId="10" fillId="0" borderId="38" xfId="0" applyFont="1" applyBorder="1"/>
    <xf numFmtId="164" fontId="10" fillId="0" borderId="14" xfId="19" applyNumberFormat="1" applyFont="1" applyFill="1" applyBorder="1" applyAlignment="1">
      <alignment horizontal="center"/>
    </xf>
    <xf numFmtId="164" fontId="10" fillId="41" borderId="43" xfId="19" applyNumberFormat="1" applyFont="1" applyFill="1" applyBorder="1" applyAlignment="1">
      <alignment horizontal="center"/>
    </xf>
    <xf numFmtId="44" fontId="10" fillId="41" borderId="14" xfId="19" applyNumberFormat="1" applyFont="1" applyFill="1" applyBorder="1" applyAlignment="1">
      <alignment horizontal="center"/>
    </xf>
    <xf numFmtId="0" fontId="10" fillId="40" borderId="0" xfId="0" applyFont="1" applyFill="1"/>
    <xf numFmtId="0" fontId="10" fillId="0" borderId="41" xfId="0" applyFont="1" applyBorder="1" applyAlignment="1">
      <alignment horizontal="center"/>
    </xf>
    <xf numFmtId="3" fontId="37" fillId="0" borderId="0" xfId="0" applyNumberFormat="1" applyFont="1"/>
    <xf numFmtId="9" fontId="12" fillId="0" borderId="0" xfId="42" applyFont="1" applyFill="1" applyBorder="1"/>
    <xf numFmtId="2" fontId="10" fillId="0" borderId="0" xfId="90" applyNumberFormat="1" applyFont="1" applyAlignment="1">
      <alignment horizontal="center" vertical="top"/>
    </xf>
    <xf numFmtId="14" fontId="42" fillId="43" borderId="33" xfId="33" applyFont="1" applyFill="1" applyBorder="1" applyAlignment="1" applyProtection="1">
      <alignment horizontal="center" vertical="top"/>
      <protection locked="0"/>
    </xf>
    <xf numFmtId="0" fontId="39" fillId="49" borderId="25" xfId="0" applyFont="1" applyFill="1" applyBorder="1" applyAlignment="1">
      <alignment horizontal="center"/>
    </xf>
    <xf numFmtId="0" fontId="10" fillId="49" borderId="18" xfId="0" applyFont="1" applyFill="1" applyBorder="1" applyAlignment="1">
      <alignment horizontal="center"/>
    </xf>
    <xf numFmtId="3" fontId="10" fillId="41" borderId="7" xfId="0" applyNumberFormat="1" applyFont="1" applyFill="1" applyBorder="1" applyAlignment="1">
      <alignment horizontal="center"/>
    </xf>
    <xf numFmtId="14" fontId="42" fillId="43" borderId="36" xfId="33" applyFont="1" applyFill="1" applyBorder="1" applyAlignment="1" applyProtection="1">
      <alignment horizontal="center" vertical="top"/>
      <protection locked="0"/>
    </xf>
    <xf numFmtId="166" fontId="10" fillId="0" borderId="0" xfId="19" applyNumberFormat="1" applyFont="1" applyFill="1" applyBorder="1" applyAlignment="1">
      <alignment horizontal="center"/>
    </xf>
    <xf numFmtId="166" fontId="10" fillId="0" borderId="0" xfId="0" applyNumberFormat="1" applyFont="1" applyAlignment="1">
      <alignment horizontal="center"/>
    </xf>
    <xf numFmtId="14" fontId="42" fillId="43" borderId="19" xfId="33" applyFont="1" applyFill="1" applyBorder="1" applyAlignment="1" applyProtection="1">
      <alignment horizontal="center" vertical="top"/>
      <protection locked="0"/>
    </xf>
    <xf numFmtId="0" fontId="10" fillId="0" borderId="7" xfId="0" applyFont="1" applyBorder="1" applyAlignment="1">
      <alignment horizontal="center"/>
    </xf>
    <xf numFmtId="0" fontId="6" fillId="0" borderId="0" xfId="96" applyFont="1" applyAlignment="1">
      <alignment horizontal="center"/>
    </xf>
    <xf numFmtId="0" fontId="7" fillId="0" borderId="0" xfId="96" applyAlignment="1">
      <alignment horizontal="center"/>
    </xf>
    <xf numFmtId="0" fontId="5" fillId="0" borderId="0" xfId="96" applyFont="1" applyAlignment="1">
      <alignment horizontal="center"/>
    </xf>
    <xf numFmtId="0" fontId="43" fillId="0" borderId="0" xfId="96" quotePrefix="1" applyFont="1"/>
    <xf numFmtId="0" fontId="4" fillId="0" borderId="0" xfId="96" applyFont="1"/>
    <xf numFmtId="171" fontId="10" fillId="41" borderId="16" xfId="0" applyNumberFormat="1" applyFont="1" applyFill="1" applyBorder="1" applyAlignment="1">
      <alignment horizontal="center"/>
    </xf>
    <xf numFmtId="0" fontId="10" fillId="50" borderId="3" xfId="0" applyFont="1" applyFill="1" applyBorder="1" applyAlignment="1">
      <alignment horizontal="center"/>
    </xf>
    <xf numFmtId="14" fontId="37" fillId="0" borderId="44" xfId="33" applyFont="1" applyBorder="1" applyAlignment="1">
      <alignment horizontal="center" vertical="top" wrapText="1"/>
    </xf>
    <xf numFmtId="0" fontId="3" fillId="0" borderId="0" xfId="96" quotePrefix="1" applyFont="1"/>
    <xf numFmtId="0" fontId="45" fillId="0" borderId="0" xfId="96" applyFont="1"/>
    <xf numFmtId="0" fontId="3" fillId="0" borderId="0" xfId="96" quotePrefix="1" applyFont="1" applyAlignment="1">
      <alignment wrapText="1"/>
    </xf>
    <xf numFmtId="0" fontId="3" fillId="0" borderId="0" xfId="96" applyFont="1"/>
    <xf numFmtId="14" fontId="37" fillId="0" borderId="33" xfId="33" applyFont="1" applyBorder="1" applyAlignment="1" applyProtection="1">
      <alignment horizontal="center" vertical="top" wrapText="1"/>
      <protection locked="0"/>
    </xf>
    <xf numFmtId="14" fontId="37" fillId="0" borderId="42" xfId="33" applyFont="1" applyBorder="1" applyAlignment="1" applyProtection="1">
      <alignment horizontal="center" vertical="top" wrapText="1"/>
      <protection locked="0"/>
    </xf>
    <xf numFmtId="14" fontId="12" fillId="0" borderId="0" xfId="33" applyFont="1" applyAlignment="1" applyProtection="1">
      <alignment horizontal="left" vertical="top"/>
      <protection locked="0"/>
    </xf>
    <xf numFmtId="14" fontId="46" fillId="0" borderId="0" xfId="33" applyFont="1" applyAlignment="1" applyProtection="1">
      <alignment horizontal="left" vertical="top"/>
      <protection locked="0"/>
    </xf>
    <xf numFmtId="0" fontId="47" fillId="0" borderId="0" xfId="96" applyFont="1"/>
    <xf numFmtId="0" fontId="2" fillId="0" borderId="0" xfId="96" applyFont="1" applyAlignment="1">
      <alignment horizontal="center"/>
    </xf>
    <xf numFmtId="0" fontId="48" fillId="0" borderId="0" xfId="96" quotePrefix="1" applyFont="1" applyAlignment="1">
      <alignment wrapText="1"/>
    </xf>
    <xf numFmtId="14" fontId="12" fillId="0" borderId="0" xfId="33" applyFont="1" applyFill="1" applyBorder="1" applyAlignment="1">
      <alignment horizontal="center" vertical="top" wrapText="1"/>
    </xf>
    <xf numFmtId="0" fontId="1" fillId="0" borderId="0" xfId="96" applyFont="1" applyAlignment="1">
      <alignment horizontal="center"/>
    </xf>
  </cellXfs>
  <cellStyles count="97">
    <cellStyle name="Accent1 - 20%" xfId="1" xr:uid="{00000000-0005-0000-0000-000000000000}"/>
    <cellStyle name="Accent1 - 40%" xfId="2" xr:uid="{00000000-0005-0000-0000-000001000000}"/>
    <cellStyle name="Accent1 - 60%" xfId="3" xr:uid="{00000000-0005-0000-0000-000002000000}"/>
    <cellStyle name="Accent2 - 20%" xfId="4" xr:uid="{00000000-0005-0000-0000-000003000000}"/>
    <cellStyle name="Accent2 - 40%" xfId="5" xr:uid="{00000000-0005-0000-0000-000004000000}"/>
    <cellStyle name="Accent2 - 60%" xfId="6" xr:uid="{00000000-0005-0000-0000-000005000000}"/>
    <cellStyle name="Accent3 - 20%" xfId="7" xr:uid="{00000000-0005-0000-0000-000006000000}"/>
    <cellStyle name="Accent3 - 40%" xfId="8" xr:uid="{00000000-0005-0000-0000-000007000000}"/>
    <cellStyle name="Accent3 - 60%" xfId="9" xr:uid="{00000000-0005-0000-0000-000008000000}"/>
    <cellStyle name="Accent4 - 20%" xfId="10" xr:uid="{00000000-0005-0000-0000-000009000000}"/>
    <cellStyle name="Accent4 - 40%" xfId="11" xr:uid="{00000000-0005-0000-0000-00000A000000}"/>
    <cellStyle name="Accent4 - 60%" xfId="12" xr:uid="{00000000-0005-0000-0000-00000B000000}"/>
    <cellStyle name="Accent5 - 20%" xfId="13" xr:uid="{00000000-0005-0000-0000-00000C000000}"/>
    <cellStyle name="Accent5 - 40%" xfId="14" xr:uid="{00000000-0005-0000-0000-00000D000000}"/>
    <cellStyle name="Accent5 - 60%" xfId="15" xr:uid="{00000000-0005-0000-0000-00000E000000}"/>
    <cellStyle name="Accent6 - 20%" xfId="16" xr:uid="{00000000-0005-0000-0000-00000F000000}"/>
    <cellStyle name="Accent6 - 40%" xfId="17" xr:uid="{00000000-0005-0000-0000-000010000000}"/>
    <cellStyle name="Accent6 - 60%" xfId="18" xr:uid="{00000000-0005-0000-0000-000011000000}"/>
    <cellStyle name="Comma" xfId="19" builtinId="3"/>
    <cellStyle name="Comma 2" xfId="20" xr:uid="{00000000-0005-0000-0000-000013000000}"/>
    <cellStyle name="Comma 2 2" xfId="94" xr:uid="{00000000-0005-0000-0000-000014000000}"/>
    <cellStyle name="Currency" xfId="21" builtinId="4"/>
    <cellStyle name="Currency 2" xfId="22" xr:uid="{00000000-0005-0000-0000-000016000000}"/>
    <cellStyle name="Currency 3" xfId="23" xr:uid="{00000000-0005-0000-0000-000017000000}"/>
    <cellStyle name="Currency 3 2" xfId="95" xr:uid="{00000000-0005-0000-0000-000018000000}"/>
    <cellStyle name="Currency 4" xfId="91" xr:uid="{00000000-0005-0000-0000-000019000000}"/>
    <cellStyle name="Date" xfId="24" xr:uid="{00000000-0005-0000-0000-00001A000000}"/>
    <cellStyle name="Emphasis 1" xfId="25" xr:uid="{00000000-0005-0000-0000-00001B000000}"/>
    <cellStyle name="Emphasis 2" xfId="26" xr:uid="{00000000-0005-0000-0000-00001C000000}"/>
    <cellStyle name="Emphasis 3" xfId="27" xr:uid="{00000000-0005-0000-0000-00001D000000}"/>
    <cellStyle name="Field Header" xfId="28" xr:uid="{00000000-0005-0000-0000-00001E000000}"/>
    <cellStyle name="Fixed" xfId="29" xr:uid="{00000000-0005-0000-0000-00001F000000}"/>
    <cellStyle name="Heading1" xfId="30" xr:uid="{00000000-0005-0000-0000-000020000000}"/>
    <cellStyle name="Heading2" xfId="31" xr:uid="{00000000-0005-0000-0000-000021000000}"/>
    <cellStyle name="Hyperlink 2" xfId="32" xr:uid="{00000000-0005-0000-0000-000022000000}"/>
    <cellStyle name="Normal" xfId="0" builtinId="0"/>
    <cellStyle name="Normal 10" xfId="89" xr:uid="{00000000-0005-0000-0000-000024000000}"/>
    <cellStyle name="Normal 11" xfId="92" xr:uid="{00000000-0005-0000-0000-000025000000}"/>
    <cellStyle name="Normal 12" xfId="96" xr:uid="{D946DF88-2430-4FE6-ADA8-2A744BF7FB77}"/>
    <cellStyle name="Normal 2" xfId="33" xr:uid="{00000000-0005-0000-0000-000026000000}"/>
    <cellStyle name="Normal 2 2" xfId="34" xr:uid="{00000000-0005-0000-0000-000027000000}"/>
    <cellStyle name="Normal 3" xfId="35" xr:uid="{00000000-0005-0000-0000-000028000000}"/>
    <cellStyle name="Normal 4" xfId="36" xr:uid="{00000000-0005-0000-0000-000029000000}"/>
    <cellStyle name="Normal 5" xfId="37" xr:uid="{00000000-0005-0000-0000-00002A000000}"/>
    <cellStyle name="Normal 6" xfId="38" xr:uid="{00000000-0005-0000-0000-00002B000000}"/>
    <cellStyle name="Normal 7" xfId="39" xr:uid="{00000000-0005-0000-0000-00002C000000}"/>
    <cellStyle name="Normal 7 2" xfId="90" xr:uid="{00000000-0005-0000-0000-00002D000000}"/>
    <cellStyle name="Normal 8" xfId="40" xr:uid="{00000000-0005-0000-0000-00002E000000}"/>
    <cellStyle name="Normal 9" xfId="88" xr:uid="{00000000-0005-0000-0000-00002F000000}"/>
    <cellStyle name="Output" xfId="41" builtinId="21"/>
    <cellStyle name="Percent" xfId="42" builtinId="5"/>
    <cellStyle name="Percent 2" xfId="43" xr:uid="{00000000-0005-0000-0000-000032000000}"/>
    <cellStyle name="Percent 2 2" xfId="93" xr:uid="{00000000-0005-0000-0000-000033000000}"/>
    <cellStyle name="Percent 3" xfId="44" xr:uid="{00000000-0005-0000-0000-000034000000}"/>
    <cellStyle name="rdsLOCKED" xfId="45" xr:uid="{00000000-0005-0000-0000-000035000000}"/>
    <cellStyle name="SAPBEXaggData" xfId="46" xr:uid="{00000000-0005-0000-0000-000036000000}"/>
    <cellStyle name="SAPBEXaggDataEmph" xfId="47" xr:uid="{00000000-0005-0000-0000-000037000000}"/>
    <cellStyle name="SAPBEXaggItem" xfId="48" xr:uid="{00000000-0005-0000-0000-000038000000}"/>
    <cellStyle name="SAPBEXaggItemX" xfId="49" xr:uid="{00000000-0005-0000-0000-000039000000}"/>
    <cellStyle name="SAPBEXchaText" xfId="50" xr:uid="{00000000-0005-0000-0000-00003A000000}"/>
    <cellStyle name="SAPBEXexcBad7" xfId="51" xr:uid="{00000000-0005-0000-0000-00003B000000}"/>
    <cellStyle name="SAPBEXexcBad8" xfId="52" xr:uid="{00000000-0005-0000-0000-00003C000000}"/>
    <cellStyle name="SAPBEXexcBad9" xfId="53" xr:uid="{00000000-0005-0000-0000-00003D000000}"/>
    <cellStyle name="SAPBEXexcCritical4" xfId="54" xr:uid="{00000000-0005-0000-0000-00003E000000}"/>
    <cellStyle name="SAPBEXexcCritical5" xfId="55" xr:uid="{00000000-0005-0000-0000-00003F000000}"/>
    <cellStyle name="SAPBEXexcCritical6" xfId="56" xr:uid="{00000000-0005-0000-0000-000040000000}"/>
    <cellStyle name="SAPBEXexcGood1" xfId="57" xr:uid="{00000000-0005-0000-0000-000041000000}"/>
    <cellStyle name="SAPBEXexcGood2" xfId="58" xr:uid="{00000000-0005-0000-0000-000042000000}"/>
    <cellStyle name="SAPBEXexcGood3" xfId="59" xr:uid="{00000000-0005-0000-0000-000043000000}"/>
    <cellStyle name="SAPBEXfilterDrill" xfId="60" xr:uid="{00000000-0005-0000-0000-000044000000}"/>
    <cellStyle name="SAPBEXfilterItem" xfId="61" xr:uid="{00000000-0005-0000-0000-000045000000}"/>
    <cellStyle name="SAPBEXfilterText" xfId="62" xr:uid="{00000000-0005-0000-0000-000046000000}"/>
    <cellStyle name="SAPBEXformats" xfId="63" xr:uid="{00000000-0005-0000-0000-000047000000}"/>
    <cellStyle name="SAPBEXheaderItem" xfId="64" xr:uid="{00000000-0005-0000-0000-000048000000}"/>
    <cellStyle name="SAPBEXheaderText" xfId="65" xr:uid="{00000000-0005-0000-0000-000049000000}"/>
    <cellStyle name="SAPBEXHLevel0" xfId="66" xr:uid="{00000000-0005-0000-0000-00004A000000}"/>
    <cellStyle name="SAPBEXHLevel0X" xfId="67" xr:uid="{00000000-0005-0000-0000-00004B000000}"/>
    <cellStyle name="SAPBEXHLevel1" xfId="68" xr:uid="{00000000-0005-0000-0000-00004C000000}"/>
    <cellStyle name="SAPBEXHLevel1X" xfId="69" xr:uid="{00000000-0005-0000-0000-00004D000000}"/>
    <cellStyle name="SAPBEXHLevel2" xfId="70" xr:uid="{00000000-0005-0000-0000-00004E000000}"/>
    <cellStyle name="SAPBEXHLevel2X" xfId="71" xr:uid="{00000000-0005-0000-0000-00004F000000}"/>
    <cellStyle name="SAPBEXHLevel3" xfId="72" xr:uid="{00000000-0005-0000-0000-000050000000}"/>
    <cellStyle name="SAPBEXHLevel3X" xfId="73" xr:uid="{00000000-0005-0000-0000-000051000000}"/>
    <cellStyle name="SAPBEXinputData" xfId="74" xr:uid="{00000000-0005-0000-0000-000052000000}"/>
    <cellStyle name="SAPBEXresData" xfId="75" xr:uid="{00000000-0005-0000-0000-000053000000}"/>
    <cellStyle name="SAPBEXresDataEmph" xfId="76" xr:uid="{00000000-0005-0000-0000-000054000000}"/>
    <cellStyle name="SAPBEXresItem" xfId="77" xr:uid="{00000000-0005-0000-0000-000055000000}"/>
    <cellStyle name="SAPBEXresItemX" xfId="78" xr:uid="{00000000-0005-0000-0000-000056000000}"/>
    <cellStyle name="SAPBEXstdData" xfId="79" xr:uid="{00000000-0005-0000-0000-000057000000}"/>
    <cellStyle name="SAPBEXstdDataEmph" xfId="80" xr:uid="{00000000-0005-0000-0000-000058000000}"/>
    <cellStyle name="SAPBEXstdItem" xfId="81" xr:uid="{00000000-0005-0000-0000-000059000000}"/>
    <cellStyle name="SAPBEXstdItemX" xfId="82" xr:uid="{00000000-0005-0000-0000-00005A000000}"/>
    <cellStyle name="SAPBEXtitle" xfId="83" xr:uid="{00000000-0005-0000-0000-00005B000000}"/>
    <cellStyle name="SAPBEXundefined" xfId="84" xr:uid="{00000000-0005-0000-0000-00005C000000}"/>
    <cellStyle name="Sheet Title" xfId="85" xr:uid="{00000000-0005-0000-0000-00005D000000}"/>
    <cellStyle name="Shop Header" xfId="86" xr:uid="{00000000-0005-0000-0000-00005E000000}"/>
    <cellStyle name="Total 2" xfId="87" xr:uid="{00000000-0005-0000-0000-00005F000000}"/>
  </cellStyles>
  <dxfs count="2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m/d/yyyy"/>
      <fill>
        <patternFill patternType="none">
          <fgColor indexed="64"/>
          <bgColor auto="1"/>
        </patternFill>
      </fill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19" formatCode="m/d/yyyy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protection locked="0" hidden="0"/>
    </dxf>
  </dxfs>
  <tableStyles count="0" defaultTableStyle="TableStyleMedium9" defaultPivotStyle="PivotStyleLight16"/>
  <colors>
    <mruColors>
      <color rgb="FFCCFFFF"/>
      <color rgb="FFFFFFCC"/>
      <color rgb="FF001C4C"/>
      <color rgb="FF0000FF"/>
      <color rgb="FF141B38"/>
      <color rgb="FF00FF00"/>
      <color rgb="FF00FFFF"/>
      <color rgb="FFCCECFF"/>
      <color rgb="FFFFFF99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4100" name="cmdUpdateHeading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0</xdr:rowOff>
        </xdr:from>
        <xdr:to>
          <xdr:col>3</xdr:col>
          <xdr:colOff>0</xdr:colOff>
          <xdr:row>33</xdr:row>
          <xdr:rowOff>0</xdr:rowOff>
        </xdr:to>
        <xdr:sp macro="" textlink="">
          <xdr:nvSpPr>
            <xdr:cNvPr id="4101" name="cmdExportEstimData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39</xdr:row>
          <xdr:rowOff>0</xdr:rowOff>
        </xdr:from>
        <xdr:to>
          <xdr:col>3</xdr:col>
          <xdr:colOff>0</xdr:colOff>
          <xdr:row>41</xdr:row>
          <xdr:rowOff>0</xdr:rowOff>
        </xdr:to>
        <xdr:sp macro="" textlink="">
          <xdr:nvSpPr>
            <xdr:cNvPr id="4102" name="cmdImportResults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3</xdr:col>
          <xdr:colOff>0</xdr:colOff>
          <xdr:row>21</xdr:row>
          <xdr:rowOff>0</xdr:rowOff>
        </xdr:to>
        <xdr:sp macro="" textlink="">
          <xdr:nvSpPr>
            <xdr:cNvPr id="4103" name="cmdGetCateg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C29CD58-619A-4A44-A495-54524F4B0E51}" name="Table1" displayName="Table1" ref="B24:J29" totalsRowShown="0" headerRowDxfId="21" dataDxfId="20" headerRowCellStyle="Normal 2" dataCellStyle="Normal 12">
  <autoFilter ref="B24:J29" xr:uid="{43E6118F-3965-4133-8E5B-65AED7658CD6}"/>
  <tableColumns count="9">
    <tableColumn id="1" xr3:uid="{2829E84D-38C8-4ED0-9A12-7F600E94A1DB}" name="sprd_order" dataDxfId="19" dataCellStyle="Normal 12">
      <calculatedColumnFormula>ROW()-ROW(Table1[[#Headers],[sprd_order]])</calculatedColumnFormula>
    </tableColumn>
    <tableColumn id="2" xr3:uid="{CA834633-A6E0-48FC-9584-250990D15F11}" name="sprd_desc" dataCellStyle="Normal 12"/>
    <tableColumn id="3" xr3:uid="{0C5B7508-5B41-4DD5-917F-D2DC021C9292}" name="type" dataDxfId="18" dataCellStyle="Normal 12"/>
    <tableColumn id="4" xr3:uid="{80E9B992-A168-4EC6-A9B7-B241D0F414CE}" name="div" dataDxfId="17" dataCellStyle="Normal 12"/>
    <tableColumn id="5" xr3:uid="{47603DE0-F39A-4540-B254-7011B94A8542}" name="discp" dataDxfId="16" dataCellStyle="Normal 12"/>
    <tableColumn id="6" xr3:uid="{A1C0BD51-1656-4F7C-B99B-5FC8EFF9D692}" name="lab_type" dataDxfId="15" dataCellStyle="Normal 12"/>
    <tableColumn id="7" xr3:uid="{F94806E8-B81C-4DF1-B875-D37BBE4C15FC}" name="atl_btl" dataDxfId="14" dataCellStyle="Normal 12"/>
    <tableColumn id="8" xr3:uid="{2AD81A3A-1EA6-4986-A52F-A632D80845BA}" name="sprd_basis_field" dataDxfId="13" dataCellStyle="Normal 12"/>
    <tableColumn id="9" xr3:uid="{066670C0-92E4-4432-9F34-810D9BBE3D71}" name="incl_cumul_sprd_values_list" dataDxfId="12" dataCellStyle="Normal 12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9C0195-6C68-4391-BDC5-0F35B99E663A}" name="Table2" displayName="Table2" ref="L24:L29" totalsRowShown="0" headerRowDxfId="11" dataDxfId="9" headerRowBorderDxfId="10" tableBorderDxfId="8" headerRowCellStyle="Normal 2">
  <autoFilter ref="L24:L29" xr:uid="{B3A6C8CC-186A-4544-80C3-7ACA9416EED2}"/>
  <tableColumns count="1">
    <tableColumn id="1" xr3:uid="{DAEC2968-7744-4D12-A5D5-D9C11BCD75A4}" name="spread categories_x000a_currently in Estimate" dataDxfId="7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523FEA-C8BE-402B-98AE-6489146C15B2}" name="Table3" displayName="Table3" ref="K3:L9" totalsRowShown="0" headerRowDxfId="6" dataDxfId="5" headerRowCellStyle="Normal 12" dataCellStyle="Normal 12">
  <autoFilter ref="K3:L9" xr:uid="{40E3E794-3629-4479-A897-1BC89D1BE675}"/>
  <tableColumns count="2">
    <tableColumn id="1" xr3:uid="{B6866F45-B6F1-4BFD-9DDF-F12BE2922027}" name="ref" dataDxfId="4" dataCellStyle="Normal 12">
      <calculatedColumnFormula>ROW()-3</calculatedColumnFormula>
    </tableColumn>
    <tableColumn id="2" xr3:uid="{1442DAB2-CBC4-4D23-85A7-0E5658B1A40F}" name="desc" dataDxfId="3" dataCellStyle="Normal 12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71465-4FF2-4110-9450-70525AD2658D}">
  <sheetPr codeName="Sheet2">
    <tabColor rgb="FFFFFF00"/>
    <pageSetUpPr fitToPage="1"/>
  </sheetPr>
  <dimension ref="A1:P61"/>
  <sheetViews>
    <sheetView topLeftCell="A15" zoomScale="115" zoomScaleNormal="115" workbookViewId="0">
      <selection activeCell="B24" activeCellId="1" sqref="J24:J29 B24:B29"/>
    </sheetView>
  </sheetViews>
  <sheetFormatPr defaultColWidth="9.140625" defaultRowHeight="15" x14ac:dyDescent="0.25"/>
  <cols>
    <col min="1" max="1" width="17" style="355" bestFit="1" customWidth="1"/>
    <col min="2" max="2" width="22.85546875" style="355" customWidth="1"/>
    <col min="3" max="3" width="24.7109375" style="355" bestFit="1" customWidth="1"/>
    <col min="4" max="8" width="12.140625" style="355" customWidth="1"/>
    <col min="9" max="9" width="17.5703125" style="355" customWidth="1"/>
    <col min="10" max="10" width="28.28515625" style="355" customWidth="1"/>
    <col min="11" max="11" width="8.28515625" style="355" customWidth="1"/>
    <col min="12" max="12" width="41.28515625" style="355" customWidth="1"/>
    <col min="13" max="16384" width="9.140625" style="355"/>
  </cols>
  <sheetData>
    <row r="1" spans="1:12" ht="21" x14ac:dyDescent="0.35">
      <c r="A1" s="352" t="s">
        <v>730</v>
      </c>
      <c r="B1" s="352"/>
      <c r="C1" s="353"/>
      <c r="D1" s="354"/>
      <c r="E1" s="354"/>
      <c r="K1" s="440" t="s">
        <v>782</v>
      </c>
    </row>
    <row r="2" spans="1:12" x14ac:dyDescent="0.25">
      <c r="A2" s="356"/>
      <c r="B2" s="356"/>
      <c r="C2" s="353"/>
      <c r="D2" s="354"/>
      <c r="E2" s="354"/>
    </row>
    <row r="3" spans="1:12" x14ac:dyDescent="0.25">
      <c r="A3" s="356"/>
      <c r="B3" s="356"/>
      <c r="C3" s="353"/>
      <c r="D3" s="356" t="s">
        <v>105</v>
      </c>
      <c r="E3" s="361" t="s">
        <v>729</v>
      </c>
      <c r="K3" s="433" t="s">
        <v>783</v>
      </c>
      <c r="L3" s="433" t="s">
        <v>784</v>
      </c>
    </row>
    <row r="4" spans="1:12" x14ac:dyDescent="0.25">
      <c r="A4" s="356" t="s">
        <v>720</v>
      </c>
      <c r="B4" s="357" t="s">
        <v>210</v>
      </c>
      <c r="C4" s="353"/>
      <c r="D4" s="356" t="s">
        <v>104</v>
      </c>
      <c r="E4" s="358">
        <v>45292</v>
      </c>
      <c r="K4" s="432">
        <f t="shared" ref="K4:K9" si="0">ROW()-3</f>
        <v>1</v>
      </c>
      <c r="L4" s="434" t="s">
        <v>785</v>
      </c>
    </row>
    <row r="5" spans="1:12" x14ac:dyDescent="0.25">
      <c r="A5" s="356" t="s">
        <v>721</v>
      </c>
      <c r="B5" s="357" t="s">
        <v>727</v>
      </c>
      <c r="C5" s="353"/>
      <c r="D5" s="356" t="s">
        <v>722</v>
      </c>
      <c r="E5" s="358">
        <v>45292</v>
      </c>
      <c r="K5" s="432">
        <f t="shared" si="0"/>
        <v>2</v>
      </c>
      <c r="L5" s="442" t="s">
        <v>788</v>
      </c>
    </row>
    <row r="6" spans="1:12" x14ac:dyDescent="0.25">
      <c r="A6" s="356" t="s">
        <v>723</v>
      </c>
      <c r="B6" s="360" t="s">
        <v>727</v>
      </c>
      <c r="C6" s="353"/>
      <c r="D6" s="356" t="s">
        <v>724</v>
      </c>
      <c r="E6" s="359" t="s">
        <v>728</v>
      </c>
      <c r="K6" s="432">
        <f t="shared" si="0"/>
        <v>3</v>
      </c>
      <c r="L6" s="442" t="s">
        <v>789</v>
      </c>
    </row>
    <row r="7" spans="1:12" x14ac:dyDescent="0.25">
      <c r="A7" s="356" t="s">
        <v>725</v>
      </c>
      <c r="B7" s="360" t="s">
        <v>727</v>
      </c>
      <c r="C7" s="353"/>
      <c r="D7" s="356" t="s">
        <v>726</v>
      </c>
      <c r="E7" s="359"/>
      <c r="K7" s="435">
        <f t="shared" si="0"/>
        <v>4</v>
      </c>
      <c r="L7" s="442" t="s">
        <v>790</v>
      </c>
    </row>
    <row r="8" spans="1:12" ht="30" x14ac:dyDescent="0.25">
      <c r="K8" s="435">
        <f t="shared" si="0"/>
        <v>5</v>
      </c>
      <c r="L8" s="442" t="s">
        <v>786</v>
      </c>
    </row>
    <row r="9" spans="1:12" ht="45" x14ac:dyDescent="0.25">
      <c r="K9" s="435">
        <f t="shared" si="0"/>
        <v>6</v>
      </c>
      <c r="L9" s="434" t="s">
        <v>787</v>
      </c>
    </row>
    <row r="14" spans="1:12" ht="20.25" x14ac:dyDescent="0.25">
      <c r="A14" s="439" t="s">
        <v>772</v>
      </c>
      <c r="B14" s="438"/>
      <c r="C14" s="438"/>
      <c r="D14" s="438"/>
      <c r="E14" s="438"/>
      <c r="F14" s="438"/>
      <c r="G14" s="438"/>
      <c r="H14" s="438"/>
      <c r="I14" s="438"/>
    </row>
    <row r="15" spans="1:12" x14ac:dyDescent="0.25">
      <c r="A15" s="427" t="s">
        <v>775</v>
      </c>
    </row>
    <row r="18" spans="1:16" x14ac:dyDescent="0.25">
      <c r="A18" s="427" t="s">
        <v>773</v>
      </c>
    </row>
    <row r="19" spans="1:16" x14ac:dyDescent="0.25">
      <c r="A19" s="427"/>
    </row>
    <row r="20" spans="1:16" x14ac:dyDescent="0.25">
      <c r="A20" s="427"/>
    </row>
    <row r="21" spans="1:16" x14ac:dyDescent="0.25">
      <c r="A21" s="427"/>
    </row>
    <row r="22" spans="1:16" x14ac:dyDescent="0.25">
      <c r="A22" s="427"/>
    </row>
    <row r="23" spans="1:16" x14ac:dyDescent="0.25">
      <c r="A23" s="427" t="s">
        <v>780</v>
      </c>
    </row>
    <row r="24" spans="1:16" ht="26.25" thickBot="1" x14ac:dyDescent="0.3">
      <c r="B24" s="436" t="s">
        <v>759</v>
      </c>
      <c r="C24" s="436" t="s">
        <v>765</v>
      </c>
      <c r="D24" s="436" t="s">
        <v>766</v>
      </c>
      <c r="E24" s="437" t="s">
        <v>767</v>
      </c>
      <c r="F24" s="437" t="s">
        <v>768</v>
      </c>
      <c r="G24" s="437" t="s">
        <v>769</v>
      </c>
      <c r="H24" s="437" t="s">
        <v>756</v>
      </c>
      <c r="I24" s="437" t="s">
        <v>760</v>
      </c>
      <c r="J24" s="437" t="s">
        <v>761</v>
      </c>
      <c r="L24" s="431" t="s">
        <v>781</v>
      </c>
    </row>
    <row r="25" spans="1:16" x14ac:dyDescent="0.25">
      <c r="B25" s="355">
        <f>ROW()-ROW(Table1[[#Headers],[sprd_order]])</f>
        <v>1</v>
      </c>
      <c r="C25" s="355" t="s">
        <v>744</v>
      </c>
      <c r="D25" s="424" t="s">
        <v>66</v>
      </c>
      <c r="E25" s="425" t="s">
        <v>163</v>
      </c>
      <c r="F25" s="424" t="s">
        <v>148</v>
      </c>
      <c r="G25" s="424" t="s">
        <v>149</v>
      </c>
      <c r="H25" s="424" t="s">
        <v>758</v>
      </c>
      <c r="I25" s="426" t="s">
        <v>762</v>
      </c>
      <c r="J25" s="426"/>
      <c r="L25" s="443" t="s">
        <v>744</v>
      </c>
    </row>
    <row r="26" spans="1:16" x14ac:dyDescent="0.25">
      <c r="B26" s="355">
        <f>ROW()-ROW(Table1[[#Headers],[sprd_order]])</f>
        <v>2</v>
      </c>
      <c r="C26" s="355" t="s">
        <v>741</v>
      </c>
      <c r="D26" s="424" t="s">
        <v>66</v>
      </c>
      <c r="E26" s="425" t="s">
        <v>163</v>
      </c>
      <c r="F26" s="424" t="s">
        <v>757</v>
      </c>
      <c r="G26" s="424" t="s">
        <v>149</v>
      </c>
      <c r="H26" s="424" t="s">
        <v>758</v>
      </c>
      <c r="I26" s="426" t="s">
        <v>762</v>
      </c>
      <c r="J26" s="426">
        <v>1</v>
      </c>
      <c r="L26" s="443" t="s">
        <v>741</v>
      </c>
    </row>
    <row r="27" spans="1:16" x14ac:dyDescent="0.25">
      <c r="B27" s="355">
        <f>ROW()-ROW(Table1[[#Headers],[sprd_order]])</f>
        <v>3</v>
      </c>
      <c r="C27" s="355" t="s">
        <v>745</v>
      </c>
      <c r="D27" s="424" t="s">
        <v>757</v>
      </c>
      <c r="E27" s="425" t="s">
        <v>757</v>
      </c>
      <c r="F27" s="424" t="s">
        <v>757</v>
      </c>
      <c r="G27" s="424" t="s">
        <v>757</v>
      </c>
      <c r="H27" s="424" t="s">
        <v>758</v>
      </c>
      <c r="I27" s="426" t="s">
        <v>764</v>
      </c>
      <c r="J27" s="444" t="s">
        <v>798</v>
      </c>
      <c r="L27" s="443" t="s">
        <v>745</v>
      </c>
      <c r="P27"/>
    </row>
    <row r="28" spans="1:16" x14ac:dyDescent="0.25">
      <c r="B28" s="355">
        <f>ROW()-ROW(Table1[[#Headers],[sprd_order]])</f>
        <v>4</v>
      </c>
      <c r="C28" s="355" t="s">
        <v>747</v>
      </c>
      <c r="D28" s="424" t="s">
        <v>68</v>
      </c>
      <c r="E28" s="425" t="s">
        <v>163</v>
      </c>
      <c r="F28" s="424" t="s">
        <v>757</v>
      </c>
      <c r="G28" s="424" t="s">
        <v>757</v>
      </c>
      <c r="H28" s="424" t="s">
        <v>758</v>
      </c>
      <c r="I28" s="426" t="s">
        <v>764</v>
      </c>
      <c r="J28" s="426"/>
      <c r="L28" s="443" t="s">
        <v>747</v>
      </c>
    </row>
    <row r="29" spans="1:16" x14ac:dyDescent="0.25">
      <c r="B29" s="355">
        <v>5</v>
      </c>
      <c r="C29" s="355" t="s">
        <v>746</v>
      </c>
      <c r="D29" s="441" t="s">
        <v>65</v>
      </c>
      <c r="E29" s="441" t="s">
        <v>757</v>
      </c>
      <c r="F29" s="441" t="s">
        <v>757</v>
      </c>
      <c r="G29" s="441" t="s">
        <v>757</v>
      </c>
      <c r="H29" s="441" t="s">
        <v>757</v>
      </c>
      <c r="I29" s="441" t="s">
        <v>764</v>
      </c>
      <c r="J29" s="441">
        <v>3</v>
      </c>
      <c r="L29" s="443" t="s">
        <v>746</v>
      </c>
    </row>
    <row r="30" spans="1:16" x14ac:dyDescent="0.25">
      <c r="A30" s="427" t="s">
        <v>792</v>
      </c>
      <c r="L30"/>
    </row>
    <row r="31" spans="1:16" x14ac:dyDescent="0.25">
      <c r="A31" s="427"/>
      <c r="L31"/>
    </row>
    <row r="32" spans="1:16" x14ac:dyDescent="0.25">
      <c r="L32"/>
    </row>
    <row r="33" spans="1:16" x14ac:dyDescent="0.25">
      <c r="L33"/>
    </row>
    <row r="34" spans="1:16" x14ac:dyDescent="0.25">
      <c r="L34"/>
    </row>
    <row r="35" spans="1:16" x14ac:dyDescent="0.25">
      <c r="A35" s="427" t="s">
        <v>793</v>
      </c>
      <c r="L35"/>
      <c r="P35"/>
    </row>
    <row r="36" spans="1:16" x14ac:dyDescent="0.25">
      <c r="B36" s="428" t="s">
        <v>774</v>
      </c>
      <c r="L36"/>
      <c r="P36"/>
    </row>
    <row r="37" spans="1:16" x14ac:dyDescent="0.25">
      <c r="L37"/>
      <c r="P37"/>
    </row>
    <row r="38" spans="1:16" x14ac:dyDescent="0.25">
      <c r="A38" s="427" t="s">
        <v>794</v>
      </c>
      <c r="L38"/>
      <c r="P38"/>
    </row>
    <row r="39" spans="1:16" x14ac:dyDescent="0.25">
      <c r="L39"/>
      <c r="P39"/>
    </row>
    <row r="40" spans="1:16" x14ac:dyDescent="0.25">
      <c r="L40"/>
      <c r="P40"/>
    </row>
    <row r="41" spans="1:16" x14ac:dyDescent="0.25">
      <c r="L41"/>
      <c r="P41"/>
    </row>
    <row r="42" spans="1:16" x14ac:dyDescent="0.25">
      <c r="L42"/>
      <c r="P42"/>
    </row>
    <row r="43" spans="1:16" x14ac:dyDescent="0.25">
      <c r="L43"/>
      <c r="P43"/>
    </row>
    <row r="44" spans="1:16" x14ac:dyDescent="0.25">
      <c r="L44"/>
      <c r="P44"/>
    </row>
    <row r="45" spans="1:16" x14ac:dyDescent="0.25">
      <c r="P45"/>
    </row>
    <row r="46" spans="1:16" x14ac:dyDescent="0.25">
      <c r="P46"/>
    </row>
    <row r="47" spans="1:16" x14ac:dyDescent="0.25">
      <c r="P47"/>
    </row>
    <row r="48" spans="1:16" x14ac:dyDescent="0.25">
      <c r="P48"/>
    </row>
    <row r="49" spans="16:16" x14ac:dyDescent="0.25">
      <c r="P49"/>
    </row>
    <row r="50" spans="16:16" x14ac:dyDescent="0.25">
      <c r="P50"/>
    </row>
    <row r="51" spans="16:16" x14ac:dyDescent="0.25">
      <c r="P51"/>
    </row>
    <row r="52" spans="16:16" x14ac:dyDescent="0.25">
      <c r="P52"/>
    </row>
    <row r="53" spans="16:16" x14ac:dyDescent="0.25">
      <c r="P53"/>
    </row>
    <row r="54" spans="16:16" x14ac:dyDescent="0.25">
      <c r="P54"/>
    </row>
    <row r="55" spans="16:16" x14ac:dyDescent="0.25">
      <c r="P55"/>
    </row>
    <row r="56" spans="16:16" x14ac:dyDescent="0.25">
      <c r="P56"/>
    </row>
    <row r="57" spans="16:16" x14ac:dyDescent="0.25">
      <c r="P57"/>
    </row>
    <row r="58" spans="16:16" x14ac:dyDescent="0.25">
      <c r="P58"/>
    </row>
    <row r="59" spans="16:16" x14ac:dyDescent="0.25">
      <c r="P59"/>
    </row>
    <row r="60" spans="16:16" x14ac:dyDescent="0.25">
      <c r="P60"/>
    </row>
    <row r="61" spans="16:16" x14ac:dyDescent="0.25">
      <c r="P61"/>
    </row>
  </sheetData>
  <dataValidations count="1">
    <dataValidation type="list" allowBlank="1" showInputMessage="1" showErrorMessage="1" sqref="I25:I29" xr:uid="{A85F75E8-9BFA-4519-B5D3-19C1D58E6D81}">
      <formula1>"Omh,Mh,Lab,Mat,Sub,Eqp,All"</formula1>
    </dataValidation>
  </dataValidations>
  <pageMargins left="0.5" right="0.5" top="1" bottom="0.75" header="0.25" footer="0.3"/>
  <pageSetup paperSize="3" fitToHeight="0" orientation="landscape" verticalDpi="0" r:id="rId1"/>
  <headerFooter>
    <oddFooter>&amp;C&amp;P of &amp;N&amp;R&amp;F</oddFooter>
  </headerFooter>
  <drawing r:id="rId2"/>
  <legacyDrawing r:id="rId3"/>
  <controls>
    <mc:AlternateContent xmlns:mc="http://schemas.openxmlformats.org/markup-compatibility/2006">
      <mc:Choice Requires="x14">
        <control shapeId="4103" r:id="rId4" name="cmdGetCateg">
          <controlPr defaultSize="0" autoLine="0" r:id="rId5">
            <anchor moveWithCells="1">
              <from>
                <xdr:col>2</xdr:col>
                <xdr:colOff>0</xdr:colOff>
                <xdr:row>19</xdr:row>
                <xdr:rowOff>0</xdr:rowOff>
              </from>
              <to>
                <xdr:col>3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4103" r:id="rId4" name="cmdGetCateg"/>
      </mc:Fallback>
    </mc:AlternateContent>
    <mc:AlternateContent xmlns:mc="http://schemas.openxmlformats.org/markup-compatibility/2006">
      <mc:Choice Requires="x14">
        <control shapeId="4102" r:id="rId6" name="cmdImportResults">
          <controlPr defaultSize="0" autoLine="0" r:id="rId7">
            <anchor moveWithCells="1">
              <from>
                <xdr:col>2</xdr:col>
                <xdr:colOff>0</xdr:colOff>
                <xdr:row>39</xdr:row>
                <xdr:rowOff>0</xdr:rowOff>
              </from>
              <to>
                <xdr:col>3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4102" r:id="rId6" name="cmdImportResults"/>
      </mc:Fallback>
    </mc:AlternateContent>
    <mc:AlternateContent xmlns:mc="http://schemas.openxmlformats.org/markup-compatibility/2006">
      <mc:Choice Requires="x14">
        <control shapeId="4101" r:id="rId8" name="cmdExportEstimData">
          <controlPr defaultSize="0" autoLine="0" r:id="rId9">
            <anchor moveWithCells="1">
              <from>
                <xdr:col>2</xdr:col>
                <xdr:colOff>0</xdr:colOff>
                <xdr:row>31</xdr:row>
                <xdr:rowOff>0</xdr:rowOff>
              </from>
              <to>
                <xdr:col>3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4101" r:id="rId8" name="cmdExportEstimData"/>
      </mc:Fallback>
    </mc:AlternateContent>
    <mc:AlternateContent xmlns:mc="http://schemas.openxmlformats.org/markup-compatibility/2006">
      <mc:Choice Requires="x14">
        <control shapeId="4100" r:id="rId10" name="cmdUpdateHeading">
          <controlPr defaultSize="0" autoLine="0" r:id="rId11">
            <anchor moveWithCells="1">
              <from>
                <xdr:col>2</xdr:col>
                <xdr:colOff>0</xdr:colOff>
                <xdr:row>9</xdr:row>
                <xdr:rowOff>0</xdr:rowOff>
              </from>
              <to>
                <xdr:col>3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4100" r:id="rId10" name="cmdUpdateHeading"/>
      </mc:Fallback>
    </mc:AlternateContent>
  </controls>
  <tableParts count="3">
    <tablePart r:id="rId12"/>
    <tablePart r:id="rId13"/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MasterBidSheet" filterMode="1">
    <tabColor rgb="FFFF0000"/>
    <pageSetUpPr fitToPage="1"/>
  </sheetPr>
  <dimension ref="A1:AF953"/>
  <sheetViews>
    <sheetView showGridLines="0" tabSelected="1" zoomScale="55" zoomScaleNormal="55" zoomScaleSheetLayoutView="85" workbookViewId="0">
      <pane xSplit="2" ySplit="1" topLeftCell="C685" activePane="bottomRight" state="frozen"/>
      <selection pane="topRight" activeCell="C1" sqref="C1"/>
      <selection pane="bottomLeft" activeCell="A2" sqref="A2"/>
      <selection pane="bottomRight" activeCell="W817" sqref="W817"/>
    </sheetView>
  </sheetViews>
  <sheetFormatPr defaultColWidth="8.7109375" defaultRowHeight="12.75" outlineLevelCol="1" x14ac:dyDescent="0.2"/>
  <cols>
    <col min="1" max="1" width="4.85546875" style="9" customWidth="1"/>
    <col min="2" max="2" width="34.140625" style="8" customWidth="1"/>
    <col min="3" max="3" width="23.140625" style="9" customWidth="1" outlineLevel="1"/>
    <col min="4" max="4" width="13.28515625" style="2" customWidth="1"/>
    <col min="5" max="5" width="14.28515625" style="8" customWidth="1"/>
    <col min="6" max="6" width="14" style="2" customWidth="1"/>
    <col min="7" max="7" width="13.28515625" style="9" customWidth="1"/>
    <col min="8" max="8" width="6.85546875" style="2" customWidth="1"/>
    <col min="9" max="9" width="10.140625" style="2" customWidth="1"/>
    <col min="10" max="18" width="10.140625" style="2" customWidth="1" outlineLevel="1"/>
    <col min="19" max="19" width="9.42578125" style="9" customWidth="1"/>
    <col min="20" max="20" width="10.7109375" style="9" customWidth="1"/>
    <col min="21" max="21" width="9.85546875" style="2" customWidth="1"/>
    <col min="22" max="22" width="13" style="2" customWidth="1"/>
    <col min="23" max="23" width="15.42578125" style="2" customWidth="1"/>
    <col min="24" max="24" width="14.42578125" style="2" customWidth="1"/>
    <col min="25" max="25" width="15.7109375" style="2" customWidth="1"/>
    <col min="26" max="27" width="14.42578125" style="2" customWidth="1"/>
    <col min="28" max="28" width="14.7109375" style="2" customWidth="1"/>
    <col min="29" max="30" width="8.7109375" style="2" customWidth="1" outlineLevel="1"/>
    <col min="31" max="31" width="8.140625" style="2" customWidth="1" outlineLevel="1"/>
    <col min="32" max="32" width="8.7109375" style="2" customWidth="1" outlineLevel="1"/>
    <col min="33" max="16384" width="8.7109375" style="2"/>
  </cols>
  <sheetData>
    <row r="1" spans="1:32" ht="32.25" customHeight="1" thickBot="1" x14ac:dyDescent="0.25">
      <c r="A1" s="62" t="s">
        <v>5</v>
      </c>
      <c r="B1" s="63" t="s">
        <v>512</v>
      </c>
      <c r="C1" s="415" t="s">
        <v>738</v>
      </c>
      <c r="D1" s="64" t="s">
        <v>514</v>
      </c>
      <c r="E1" s="64" t="s">
        <v>509</v>
      </c>
      <c r="F1" s="64" t="s">
        <v>510</v>
      </c>
      <c r="G1" s="64" t="s">
        <v>511</v>
      </c>
      <c r="H1" s="81" t="s">
        <v>477</v>
      </c>
      <c r="I1" s="81" t="s">
        <v>740</v>
      </c>
      <c r="J1" s="64" t="s">
        <v>679</v>
      </c>
      <c r="K1" s="64" t="s">
        <v>680</v>
      </c>
      <c r="L1" s="64" t="s">
        <v>681</v>
      </c>
      <c r="M1" s="64" t="s">
        <v>682</v>
      </c>
      <c r="N1" s="64" t="s">
        <v>683</v>
      </c>
      <c r="O1" s="64" t="s">
        <v>684</v>
      </c>
      <c r="P1" s="64" t="s">
        <v>685</v>
      </c>
      <c r="Q1" s="64" t="s">
        <v>686</v>
      </c>
      <c r="R1" s="64" t="s">
        <v>704</v>
      </c>
      <c r="S1" s="64" t="s">
        <v>478</v>
      </c>
      <c r="T1" s="64" t="s">
        <v>479</v>
      </c>
      <c r="U1" s="81" t="s">
        <v>480</v>
      </c>
      <c r="V1" s="64" t="s">
        <v>739</v>
      </c>
      <c r="W1" s="64" t="s">
        <v>130</v>
      </c>
      <c r="X1" s="81" t="s">
        <v>762</v>
      </c>
      <c r="Y1" s="81" t="s">
        <v>771</v>
      </c>
      <c r="Z1" s="81" t="s">
        <v>482</v>
      </c>
      <c r="AA1" s="81" t="s">
        <v>763</v>
      </c>
      <c r="AB1" s="130" t="s">
        <v>9</v>
      </c>
      <c r="AC1" s="368" t="s">
        <v>162</v>
      </c>
      <c r="AD1" s="368" t="s">
        <v>147</v>
      </c>
      <c r="AE1" s="368" t="s">
        <v>770</v>
      </c>
      <c r="AF1" s="368" t="s">
        <v>643</v>
      </c>
    </row>
    <row r="2" spans="1:32" ht="13.5" thickBot="1" x14ac:dyDescent="0.25">
      <c r="A2" s="14" t="str">
        <f>+IF(SUM(S3:S100)&lt;&gt;0,"X","")</f>
        <v>X</v>
      </c>
      <c r="B2" s="198" t="s">
        <v>463</v>
      </c>
      <c r="C2" s="200" t="s">
        <v>13</v>
      </c>
      <c r="D2" s="199" t="s">
        <v>514</v>
      </c>
      <c r="E2" s="199" t="s">
        <v>7</v>
      </c>
      <c r="F2" s="199" t="s">
        <v>60</v>
      </c>
      <c r="G2" s="199" t="s">
        <v>578</v>
      </c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211"/>
      <c r="T2" s="200"/>
      <c r="U2" s="201"/>
      <c r="V2" s="202"/>
      <c r="W2" s="203"/>
      <c r="X2" s="204">
        <f t="shared" ref="X2:X65" si="0">IF(H2="L",V2*W2,0)</f>
        <v>0</v>
      </c>
      <c r="Y2" s="204">
        <f t="shared" ref="Y2:Y65" si="1">IF(H2="M",S2*W2,0)</f>
        <v>0</v>
      </c>
      <c r="Z2" s="204">
        <f t="shared" ref="Z2:Z65" si="2">IF(H2="S",S2*W2,0)</f>
        <v>0</v>
      </c>
      <c r="AA2" s="204">
        <f>IF(H2="E",G2*S2*W2,0)</f>
        <v>0</v>
      </c>
      <c r="AB2" s="216"/>
      <c r="AC2" s="369"/>
      <c r="AD2" s="369"/>
      <c r="AE2" s="369" t="s">
        <v>13</v>
      </c>
      <c r="AF2" s="370">
        <v>1</v>
      </c>
    </row>
    <row r="3" spans="1:32" hidden="1" x14ac:dyDescent="0.2">
      <c r="A3" s="14" t="str">
        <f t="shared" ref="A3:A34" si="3">+IF(AB3&lt;&gt;0,"X","")</f>
        <v/>
      </c>
      <c r="B3" s="26" t="s">
        <v>466</v>
      </c>
      <c r="C3" s="315"/>
      <c r="D3" s="244"/>
      <c r="E3" s="26">
        <v>1</v>
      </c>
      <c r="F3" s="252" t="s">
        <v>0</v>
      </c>
      <c r="G3" s="292">
        <v>0.13300000000000001</v>
      </c>
      <c r="H3" s="15" t="s">
        <v>66</v>
      </c>
      <c r="I3" s="347"/>
      <c r="J3" s="18"/>
      <c r="K3" s="18"/>
      <c r="L3" s="18"/>
      <c r="M3" s="18"/>
      <c r="N3" s="18"/>
      <c r="O3" s="18"/>
      <c r="P3" s="18"/>
      <c r="Q3" s="18"/>
      <c r="R3" s="18"/>
      <c r="S3" s="19">
        <f t="shared" ref="S3:S34" si="4">SUM(I3:R3)</f>
        <v>0</v>
      </c>
      <c r="T3" s="19" t="s">
        <v>493</v>
      </c>
      <c r="U3" s="66">
        <f>0.7*AF$2</f>
        <v>0.7</v>
      </c>
      <c r="V3" s="93">
        <f t="shared" ref="V3:V34" si="5">+S3*U3</f>
        <v>0</v>
      </c>
      <c r="W3" s="123">
        <f>Rate!D$9</f>
        <v>38</v>
      </c>
      <c r="X3" s="109">
        <f t="shared" si="0"/>
        <v>0</v>
      </c>
      <c r="Y3" s="109">
        <f t="shared" si="1"/>
        <v>0</v>
      </c>
      <c r="Z3" s="109">
        <f t="shared" si="2"/>
        <v>0</v>
      </c>
      <c r="AA3" s="109">
        <f t="shared" ref="AA3:AA34" si="6">IF(H3="E",B3*S3*W3,0)</f>
        <v>0</v>
      </c>
      <c r="AB3" s="109">
        <f t="shared" ref="AB3:AB34" si="7">SUM(X3:AA3)</f>
        <v>0</v>
      </c>
      <c r="AC3" s="371" t="s">
        <v>163</v>
      </c>
      <c r="AD3" s="371" t="s">
        <v>148</v>
      </c>
      <c r="AE3" s="371" t="s">
        <v>149</v>
      </c>
      <c r="AF3" s="47"/>
    </row>
    <row r="4" spans="1:32" x14ac:dyDescent="0.2">
      <c r="A4" s="14" t="str">
        <f t="shared" si="3"/>
        <v>X</v>
      </c>
      <c r="B4" s="26" t="s">
        <v>466</v>
      </c>
      <c r="C4" s="315" t="s">
        <v>795</v>
      </c>
      <c r="D4" s="244"/>
      <c r="E4" s="26">
        <v>1.5</v>
      </c>
      <c r="F4" s="252" t="s">
        <v>0</v>
      </c>
      <c r="G4" s="292">
        <v>0.14499999999999999</v>
      </c>
      <c r="H4" s="15" t="s">
        <v>66</v>
      </c>
      <c r="I4" s="430">
        <v>50</v>
      </c>
      <c r="J4" s="430">
        <v>100</v>
      </c>
      <c r="K4" s="15"/>
      <c r="L4" s="15"/>
      <c r="M4" s="15"/>
      <c r="N4" s="15"/>
      <c r="O4" s="15"/>
      <c r="P4" s="15"/>
      <c r="Q4" s="15"/>
      <c r="R4" s="15"/>
      <c r="S4" s="7">
        <f t="shared" si="4"/>
        <v>150</v>
      </c>
      <c r="T4" s="7" t="s">
        <v>493</v>
      </c>
      <c r="U4" s="66">
        <f>0.8*AF$2</f>
        <v>0.8</v>
      </c>
      <c r="V4" s="31">
        <f t="shared" si="5"/>
        <v>120</v>
      </c>
      <c r="W4" s="35">
        <f>Rate!D$9</f>
        <v>38</v>
      </c>
      <c r="X4" s="110">
        <f t="shared" si="0"/>
        <v>4560</v>
      </c>
      <c r="Y4" s="110">
        <f t="shared" si="1"/>
        <v>0</v>
      </c>
      <c r="Z4" s="110">
        <f t="shared" si="2"/>
        <v>0</v>
      </c>
      <c r="AA4" s="110">
        <f t="shared" si="6"/>
        <v>0</v>
      </c>
      <c r="AB4" s="110">
        <f t="shared" si="7"/>
        <v>4560</v>
      </c>
      <c r="AC4" s="371" t="s">
        <v>163</v>
      </c>
      <c r="AD4" s="371" t="s">
        <v>148</v>
      </c>
      <c r="AE4" s="371" t="s">
        <v>149</v>
      </c>
      <c r="AF4" s="47"/>
    </row>
    <row r="5" spans="1:32" x14ac:dyDescent="0.2">
      <c r="A5" s="14" t="str">
        <f t="shared" si="3"/>
        <v>X</v>
      </c>
      <c r="B5" s="26" t="s">
        <v>466</v>
      </c>
      <c r="C5" s="315" t="s">
        <v>795</v>
      </c>
      <c r="D5" s="244"/>
      <c r="E5" s="26">
        <v>2</v>
      </c>
      <c r="F5" s="252" t="s">
        <v>0</v>
      </c>
      <c r="G5" s="292">
        <v>0.154</v>
      </c>
      <c r="H5" s="15" t="s">
        <v>66</v>
      </c>
      <c r="I5" s="430">
        <v>50</v>
      </c>
      <c r="J5" s="430">
        <v>100</v>
      </c>
      <c r="K5" s="15"/>
      <c r="L5" s="15"/>
      <c r="M5" s="15"/>
      <c r="N5" s="15"/>
      <c r="O5" s="15"/>
      <c r="P5" s="15"/>
      <c r="Q5" s="15"/>
      <c r="R5" s="15"/>
      <c r="S5" s="7">
        <f t="shared" si="4"/>
        <v>150</v>
      </c>
      <c r="T5" s="7" t="s">
        <v>493</v>
      </c>
      <c r="U5" s="66">
        <f>1*AF$2</f>
        <v>1</v>
      </c>
      <c r="V5" s="31">
        <f t="shared" si="5"/>
        <v>150</v>
      </c>
      <c r="W5" s="35">
        <f>Rate!D$9</f>
        <v>38</v>
      </c>
      <c r="X5" s="110">
        <f t="shared" si="0"/>
        <v>5700</v>
      </c>
      <c r="Y5" s="110">
        <f t="shared" si="1"/>
        <v>0</v>
      </c>
      <c r="Z5" s="110">
        <f t="shared" si="2"/>
        <v>0</v>
      </c>
      <c r="AA5" s="110">
        <f t="shared" si="6"/>
        <v>0</v>
      </c>
      <c r="AB5" s="110">
        <f t="shared" si="7"/>
        <v>5700</v>
      </c>
      <c r="AC5" s="371" t="s">
        <v>163</v>
      </c>
      <c r="AD5" s="371" t="s">
        <v>148</v>
      </c>
      <c r="AE5" s="371" t="s">
        <v>149</v>
      </c>
      <c r="AF5" s="47"/>
    </row>
    <row r="6" spans="1:32" x14ac:dyDescent="0.2">
      <c r="A6" s="14" t="str">
        <f t="shared" si="3"/>
        <v>X</v>
      </c>
      <c r="B6" s="26" t="s">
        <v>466</v>
      </c>
      <c r="C6" s="315" t="s">
        <v>795</v>
      </c>
      <c r="D6" s="244"/>
      <c r="E6" s="26">
        <v>3</v>
      </c>
      <c r="F6" s="252" t="s">
        <v>0</v>
      </c>
      <c r="G6" s="292">
        <v>0.216</v>
      </c>
      <c r="H6" s="15" t="s">
        <v>66</v>
      </c>
      <c r="I6" s="430">
        <v>50</v>
      </c>
      <c r="J6" s="430">
        <v>100</v>
      </c>
      <c r="K6" s="15"/>
      <c r="L6" s="15"/>
      <c r="M6" s="15"/>
      <c r="N6" s="15"/>
      <c r="O6" s="15"/>
      <c r="P6" s="15"/>
      <c r="Q6" s="15"/>
      <c r="R6" s="15"/>
      <c r="S6" s="7">
        <f t="shared" si="4"/>
        <v>150</v>
      </c>
      <c r="T6" s="7" t="s">
        <v>493</v>
      </c>
      <c r="U6" s="66">
        <f>1.3*AF$2</f>
        <v>1.3</v>
      </c>
      <c r="V6" s="31">
        <f t="shared" si="5"/>
        <v>195</v>
      </c>
      <c r="W6" s="35">
        <f>Rate!D$9</f>
        <v>38</v>
      </c>
      <c r="X6" s="110">
        <f t="shared" si="0"/>
        <v>7410</v>
      </c>
      <c r="Y6" s="110">
        <f t="shared" si="1"/>
        <v>0</v>
      </c>
      <c r="Z6" s="110">
        <f t="shared" si="2"/>
        <v>0</v>
      </c>
      <c r="AA6" s="110">
        <f t="shared" si="6"/>
        <v>0</v>
      </c>
      <c r="AB6" s="110">
        <f t="shared" si="7"/>
        <v>7410</v>
      </c>
      <c r="AC6" s="371" t="s">
        <v>163</v>
      </c>
      <c r="AD6" s="371" t="s">
        <v>148</v>
      </c>
      <c r="AE6" s="371" t="s">
        <v>149</v>
      </c>
      <c r="AF6" s="47"/>
    </row>
    <row r="7" spans="1:32" x14ac:dyDescent="0.2">
      <c r="A7" s="14" t="str">
        <f t="shared" si="3"/>
        <v>X</v>
      </c>
      <c r="B7" s="26" t="s">
        <v>466</v>
      </c>
      <c r="C7" s="315" t="s">
        <v>795</v>
      </c>
      <c r="D7" s="244"/>
      <c r="E7" s="26">
        <v>4</v>
      </c>
      <c r="F7" s="252" t="s">
        <v>0</v>
      </c>
      <c r="G7" s="292">
        <v>0.23699999999999999</v>
      </c>
      <c r="H7" s="15" t="s">
        <v>66</v>
      </c>
      <c r="I7" s="430">
        <v>50</v>
      </c>
      <c r="J7" s="430">
        <v>100</v>
      </c>
      <c r="K7" s="15"/>
      <c r="L7" s="15"/>
      <c r="M7" s="15"/>
      <c r="N7" s="15"/>
      <c r="O7" s="15"/>
      <c r="P7" s="15"/>
      <c r="Q7" s="15"/>
      <c r="R7" s="15"/>
      <c r="S7" s="7">
        <f t="shared" si="4"/>
        <v>150</v>
      </c>
      <c r="T7" s="7" t="s">
        <v>493</v>
      </c>
      <c r="U7" s="66">
        <f>1.5*AF$2</f>
        <v>1.5</v>
      </c>
      <c r="V7" s="31">
        <f t="shared" si="5"/>
        <v>225</v>
      </c>
      <c r="W7" s="35">
        <f>Rate!D$9</f>
        <v>38</v>
      </c>
      <c r="X7" s="110">
        <f t="shared" si="0"/>
        <v>8550</v>
      </c>
      <c r="Y7" s="110">
        <f t="shared" si="1"/>
        <v>0</v>
      </c>
      <c r="Z7" s="110">
        <f t="shared" si="2"/>
        <v>0</v>
      </c>
      <c r="AA7" s="110">
        <f t="shared" si="6"/>
        <v>0</v>
      </c>
      <c r="AB7" s="110">
        <f t="shared" si="7"/>
        <v>8550</v>
      </c>
      <c r="AC7" s="371" t="s">
        <v>163</v>
      </c>
      <c r="AD7" s="371" t="s">
        <v>148</v>
      </c>
      <c r="AE7" s="371" t="s">
        <v>149</v>
      </c>
      <c r="AF7" s="47"/>
    </row>
    <row r="8" spans="1:32" x14ac:dyDescent="0.2">
      <c r="A8" s="14" t="str">
        <f t="shared" si="3"/>
        <v>X</v>
      </c>
      <c r="B8" s="26" t="s">
        <v>466</v>
      </c>
      <c r="C8" s="315" t="s">
        <v>795</v>
      </c>
      <c r="D8" s="244"/>
      <c r="E8" s="26">
        <v>6</v>
      </c>
      <c r="F8" s="252" t="s">
        <v>0</v>
      </c>
      <c r="G8" s="292">
        <v>0.28000000000000003</v>
      </c>
      <c r="H8" s="15" t="s">
        <v>66</v>
      </c>
      <c r="I8" s="430">
        <v>50</v>
      </c>
      <c r="J8" s="430">
        <v>100</v>
      </c>
      <c r="K8" s="15"/>
      <c r="L8" s="15"/>
      <c r="M8" s="15"/>
      <c r="N8" s="15"/>
      <c r="O8" s="15"/>
      <c r="P8" s="15"/>
      <c r="Q8" s="15"/>
      <c r="R8" s="15"/>
      <c r="S8" s="7">
        <f t="shared" si="4"/>
        <v>150</v>
      </c>
      <c r="T8" s="7" t="s">
        <v>493</v>
      </c>
      <c r="U8" s="66">
        <f>2*AF$2</f>
        <v>2</v>
      </c>
      <c r="V8" s="31">
        <f t="shared" si="5"/>
        <v>300</v>
      </c>
      <c r="W8" s="35">
        <f>Rate!D$9</f>
        <v>38</v>
      </c>
      <c r="X8" s="110">
        <f t="shared" si="0"/>
        <v>11400</v>
      </c>
      <c r="Y8" s="110">
        <f t="shared" si="1"/>
        <v>0</v>
      </c>
      <c r="Z8" s="110">
        <f t="shared" si="2"/>
        <v>0</v>
      </c>
      <c r="AA8" s="110">
        <f t="shared" si="6"/>
        <v>0</v>
      </c>
      <c r="AB8" s="110">
        <f t="shared" si="7"/>
        <v>11400</v>
      </c>
      <c r="AC8" s="371" t="s">
        <v>163</v>
      </c>
      <c r="AD8" s="371" t="s">
        <v>148</v>
      </c>
      <c r="AE8" s="371" t="s">
        <v>149</v>
      </c>
      <c r="AF8" s="47"/>
    </row>
    <row r="9" spans="1:32" x14ac:dyDescent="0.2">
      <c r="A9" s="14" t="str">
        <f t="shared" si="3"/>
        <v>X</v>
      </c>
      <c r="B9" s="26" t="s">
        <v>466</v>
      </c>
      <c r="C9" s="315" t="s">
        <v>795</v>
      </c>
      <c r="D9" s="244"/>
      <c r="E9" s="26">
        <v>8</v>
      </c>
      <c r="F9" s="252" t="s">
        <v>0</v>
      </c>
      <c r="G9" s="292">
        <v>0.32200000000000001</v>
      </c>
      <c r="H9" s="15" t="s">
        <v>66</v>
      </c>
      <c r="I9" s="430">
        <v>50</v>
      </c>
      <c r="J9" s="430">
        <v>100</v>
      </c>
      <c r="K9" s="15"/>
      <c r="L9" s="15"/>
      <c r="M9" s="15"/>
      <c r="N9" s="15"/>
      <c r="O9" s="15"/>
      <c r="P9" s="15"/>
      <c r="Q9" s="15"/>
      <c r="R9" s="15"/>
      <c r="S9" s="7">
        <f t="shared" si="4"/>
        <v>150</v>
      </c>
      <c r="T9" s="7" t="s">
        <v>493</v>
      </c>
      <c r="U9" s="66">
        <f>2.6*AF$2</f>
        <v>2.6</v>
      </c>
      <c r="V9" s="31">
        <f t="shared" si="5"/>
        <v>390</v>
      </c>
      <c r="W9" s="35">
        <f>Rate!D$9</f>
        <v>38</v>
      </c>
      <c r="X9" s="110">
        <f t="shared" si="0"/>
        <v>14820</v>
      </c>
      <c r="Y9" s="110">
        <f t="shared" si="1"/>
        <v>0</v>
      </c>
      <c r="Z9" s="110">
        <f t="shared" si="2"/>
        <v>0</v>
      </c>
      <c r="AA9" s="110">
        <f t="shared" si="6"/>
        <v>0</v>
      </c>
      <c r="AB9" s="110">
        <f t="shared" si="7"/>
        <v>14820</v>
      </c>
      <c r="AC9" s="371" t="s">
        <v>163</v>
      </c>
      <c r="AD9" s="371" t="s">
        <v>148</v>
      </c>
      <c r="AE9" s="371" t="s">
        <v>149</v>
      </c>
      <c r="AF9" s="47"/>
    </row>
    <row r="10" spans="1:32" hidden="1" x14ac:dyDescent="0.2">
      <c r="A10" s="14" t="str">
        <f t="shared" si="3"/>
        <v/>
      </c>
      <c r="B10" s="26" t="s">
        <v>466</v>
      </c>
      <c r="C10" s="315"/>
      <c r="D10" s="244"/>
      <c r="E10" s="26">
        <v>10</v>
      </c>
      <c r="F10" s="252" t="s">
        <v>0</v>
      </c>
      <c r="G10" s="292">
        <v>0.36499999999999999</v>
      </c>
      <c r="H10" s="15" t="s">
        <v>66</v>
      </c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7">
        <f t="shared" si="4"/>
        <v>0</v>
      </c>
      <c r="T10" s="7" t="s">
        <v>493</v>
      </c>
      <c r="U10" s="66">
        <f>3.1*AF$2</f>
        <v>3.1</v>
      </c>
      <c r="V10" s="31">
        <f t="shared" si="5"/>
        <v>0</v>
      </c>
      <c r="W10" s="35">
        <f>Rate!D$9</f>
        <v>38</v>
      </c>
      <c r="X10" s="110">
        <f t="shared" si="0"/>
        <v>0</v>
      </c>
      <c r="Y10" s="110">
        <f t="shared" si="1"/>
        <v>0</v>
      </c>
      <c r="Z10" s="110">
        <f t="shared" si="2"/>
        <v>0</v>
      </c>
      <c r="AA10" s="110">
        <f t="shared" si="6"/>
        <v>0</v>
      </c>
      <c r="AB10" s="110">
        <f t="shared" si="7"/>
        <v>0</v>
      </c>
      <c r="AC10" s="371" t="s">
        <v>163</v>
      </c>
      <c r="AD10" s="371" t="s">
        <v>148</v>
      </c>
      <c r="AE10" s="371" t="s">
        <v>149</v>
      </c>
      <c r="AF10" s="47"/>
    </row>
    <row r="11" spans="1:32" hidden="1" x14ac:dyDescent="0.2">
      <c r="A11" s="14" t="str">
        <f t="shared" si="3"/>
        <v/>
      </c>
      <c r="B11" s="26" t="s">
        <v>466</v>
      </c>
      <c r="C11" s="315"/>
      <c r="D11" s="244"/>
      <c r="E11" s="26">
        <v>12</v>
      </c>
      <c r="F11" s="252" t="s">
        <v>0</v>
      </c>
      <c r="G11" s="292">
        <v>0.375</v>
      </c>
      <c r="H11" s="15" t="s">
        <v>66</v>
      </c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7">
        <f>SUM(I11:R11)</f>
        <v>0</v>
      </c>
      <c r="T11" s="7" t="s">
        <v>493</v>
      </c>
      <c r="U11" s="66">
        <f>3.6*AF$2</f>
        <v>3.6</v>
      </c>
      <c r="V11" s="31">
        <f t="shared" si="5"/>
        <v>0</v>
      </c>
      <c r="W11" s="35">
        <f>Rate!D$9</f>
        <v>38</v>
      </c>
      <c r="X11" s="110">
        <f t="shared" si="0"/>
        <v>0</v>
      </c>
      <c r="Y11" s="110">
        <f t="shared" si="1"/>
        <v>0</v>
      </c>
      <c r="Z11" s="110">
        <f t="shared" si="2"/>
        <v>0</v>
      </c>
      <c r="AA11" s="110">
        <f t="shared" si="6"/>
        <v>0</v>
      </c>
      <c r="AB11" s="110">
        <f t="shared" si="7"/>
        <v>0</v>
      </c>
      <c r="AC11" s="371" t="s">
        <v>163</v>
      </c>
      <c r="AD11" s="371" t="s">
        <v>148</v>
      </c>
      <c r="AE11" s="371" t="s">
        <v>149</v>
      </c>
      <c r="AF11" s="47"/>
    </row>
    <row r="12" spans="1:32" hidden="1" x14ac:dyDescent="0.2">
      <c r="A12" s="14" t="str">
        <f t="shared" si="3"/>
        <v/>
      </c>
      <c r="B12" s="26" t="s">
        <v>466</v>
      </c>
      <c r="C12" s="315"/>
      <c r="D12" s="244"/>
      <c r="E12" s="26">
        <v>14</v>
      </c>
      <c r="F12" s="252" t="s">
        <v>0</v>
      </c>
      <c r="G12" s="292">
        <v>0.375</v>
      </c>
      <c r="H12" s="15" t="s">
        <v>66</v>
      </c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7">
        <f>SUM(I12:R12)</f>
        <v>0</v>
      </c>
      <c r="T12" s="7" t="s">
        <v>493</v>
      </c>
      <c r="U12" s="134">
        <f>4.3*AF$2</f>
        <v>4.3</v>
      </c>
      <c r="V12" s="31">
        <f t="shared" si="5"/>
        <v>0</v>
      </c>
      <c r="W12" s="35">
        <f>Rate!D$9</f>
        <v>38</v>
      </c>
      <c r="X12" s="110">
        <f t="shared" si="0"/>
        <v>0</v>
      </c>
      <c r="Y12" s="110">
        <f t="shared" si="1"/>
        <v>0</v>
      </c>
      <c r="Z12" s="110">
        <f t="shared" si="2"/>
        <v>0</v>
      </c>
      <c r="AA12" s="110">
        <f t="shared" si="6"/>
        <v>0</v>
      </c>
      <c r="AB12" s="110">
        <f t="shared" si="7"/>
        <v>0</v>
      </c>
      <c r="AC12" s="371" t="s">
        <v>163</v>
      </c>
      <c r="AD12" s="371" t="s">
        <v>148</v>
      </c>
      <c r="AE12" s="371" t="s">
        <v>149</v>
      </c>
      <c r="AF12" s="47"/>
    </row>
    <row r="13" spans="1:32" hidden="1" x14ac:dyDescent="0.2">
      <c r="A13" s="14" t="str">
        <f t="shared" si="3"/>
        <v/>
      </c>
      <c r="B13" s="26" t="s">
        <v>466</v>
      </c>
      <c r="C13" s="315"/>
      <c r="D13" s="244"/>
      <c r="E13" s="26">
        <v>16</v>
      </c>
      <c r="F13" s="252" t="s">
        <v>0</v>
      </c>
      <c r="G13" s="292">
        <v>0.375</v>
      </c>
      <c r="H13" s="15" t="s">
        <v>66</v>
      </c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7">
        <f>SUM(I13:R13)</f>
        <v>0</v>
      </c>
      <c r="T13" s="7" t="s">
        <v>493</v>
      </c>
      <c r="U13" s="66">
        <f>5*AF$2</f>
        <v>5</v>
      </c>
      <c r="V13" s="31">
        <f t="shared" si="5"/>
        <v>0</v>
      </c>
      <c r="W13" s="35">
        <f>Rate!D$9</f>
        <v>38</v>
      </c>
      <c r="X13" s="110">
        <f t="shared" si="0"/>
        <v>0</v>
      </c>
      <c r="Y13" s="110">
        <f t="shared" si="1"/>
        <v>0</v>
      </c>
      <c r="Z13" s="110">
        <f t="shared" si="2"/>
        <v>0</v>
      </c>
      <c r="AA13" s="110">
        <f t="shared" si="6"/>
        <v>0</v>
      </c>
      <c r="AB13" s="110">
        <f t="shared" si="7"/>
        <v>0</v>
      </c>
      <c r="AC13" s="371" t="s">
        <v>163</v>
      </c>
      <c r="AD13" s="371" t="s">
        <v>148</v>
      </c>
      <c r="AE13" s="371" t="s">
        <v>149</v>
      </c>
      <c r="AF13" s="47"/>
    </row>
    <row r="14" spans="1:32" hidden="1" x14ac:dyDescent="0.2">
      <c r="A14" s="14" t="str">
        <f t="shared" si="3"/>
        <v/>
      </c>
      <c r="B14" s="26" t="s">
        <v>466</v>
      </c>
      <c r="C14" s="315"/>
      <c r="D14" s="244"/>
      <c r="E14" s="26">
        <v>18</v>
      </c>
      <c r="F14" s="252" t="s">
        <v>0</v>
      </c>
      <c r="G14" s="292">
        <v>0.375</v>
      </c>
      <c r="H14" s="15" t="s">
        <v>66</v>
      </c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7">
        <f t="shared" si="4"/>
        <v>0</v>
      </c>
      <c r="T14" s="7" t="s">
        <v>493</v>
      </c>
      <c r="U14" s="66">
        <f>5.9*AF$2</f>
        <v>5.9</v>
      </c>
      <c r="V14" s="31">
        <f t="shared" si="5"/>
        <v>0</v>
      </c>
      <c r="W14" s="35">
        <f>Rate!D$9</f>
        <v>38</v>
      </c>
      <c r="X14" s="110">
        <f t="shared" si="0"/>
        <v>0</v>
      </c>
      <c r="Y14" s="110">
        <f t="shared" si="1"/>
        <v>0</v>
      </c>
      <c r="Z14" s="110">
        <f t="shared" si="2"/>
        <v>0</v>
      </c>
      <c r="AA14" s="110">
        <f t="shared" si="6"/>
        <v>0</v>
      </c>
      <c r="AB14" s="110">
        <f t="shared" si="7"/>
        <v>0</v>
      </c>
      <c r="AC14" s="371" t="s">
        <v>163</v>
      </c>
      <c r="AD14" s="371" t="s">
        <v>148</v>
      </c>
      <c r="AE14" s="371" t="s">
        <v>149</v>
      </c>
      <c r="AF14" s="47"/>
    </row>
    <row r="15" spans="1:32" hidden="1" x14ac:dyDescent="0.2">
      <c r="A15" s="14" t="str">
        <f t="shared" si="3"/>
        <v/>
      </c>
      <c r="B15" s="26" t="s">
        <v>466</v>
      </c>
      <c r="C15" s="315"/>
      <c r="D15" s="244"/>
      <c r="E15" s="26">
        <v>20</v>
      </c>
      <c r="F15" s="252" t="s">
        <v>0</v>
      </c>
      <c r="G15" s="292">
        <v>0.375</v>
      </c>
      <c r="H15" s="15" t="s">
        <v>66</v>
      </c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7">
        <f t="shared" si="4"/>
        <v>0</v>
      </c>
      <c r="T15" s="7" t="s">
        <v>493</v>
      </c>
      <c r="U15" s="66">
        <f>6.3*AF$2</f>
        <v>6.3</v>
      </c>
      <c r="V15" s="31">
        <f t="shared" si="5"/>
        <v>0</v>
      </c>
      <c r="W15" s="35">
        <f>Rate!D$9</f>
        <v>38</v>
      </c>
      <c r="X15" s="110">
        <f t="shared" si="0"/>
        <v>0</v>
      </c>
      <c r="Y15" s="110">
        <f t="shared" si="1"/>
        <v>0</v>
      </c>
      <c r="Z15" s="110">
        <f t="shared" si="2"/>
        <v>0</v>
      </c>
      <c r="AA15" s="110">
        <f t="shared" si="6"/>
        <v>0</v>
      </c>
      <c r="AB15" s="110">
        <f t="shared" si="7"/>
        <v>0</v>
      </c>
      <c r="AC15" s="371" t="s">
        <v>163</v>
      </c>
      <c r="AD15" s="371" t="s">
        <v>148</v>
      </c>
      <c r="AE15" s="371" t="s">
        <v>149</v>
      </c>
      <c r="AF15" s="47"/>
    </row>
    <row r="16" spans="1:32" hidden="1" x14ac:dyDescent="0.2">
      <c r="A16" s="14" t="str">
        <f t="shared" si="3"/>
        <v/>
      </c>
      <c r="B16" s="26" t="s">
        <v>466</v>
      </c>
      <c r="C16" s="315"/>
      <c r="D16" s="244"/>
      <c r="E16" s="26">
        <v>24</v>
      </c>
      <c r="F16" s="252" t="s">
        <v>0</v>
      </c>
      <c r="G16" s="292">
        <v>0.375</v>
      </c>
      <c r="H16" s="15" t="s">
        <v>66</v>
      </c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7">
        <f t="shared" si="4"/>
        <v>0</v>
      </c>
      <c r="T16" s="7" t="s">
        <v>493</v>
      </c>
      <c r="U16" s="66">
        <f>6.9*AF$2</f>
        <v>6.9</v>
      </c>
      <c r="V16" s="31">
        <f t="shared" si="5"/>
        <v>0</v>
      </c>
      <c r="W16" s="35">
        <f>Rate!D$9</f>
        <v>38</v>
      </c>
      <c r="X16" s="110">
        <f t="shared" si="0"/>
        <v>0</v>
      </c>
      <c r="Y16" s="110">
        <f t="shared" si="1"/>
        <v>0</v>
      </c>
      <c r="Z16" s="110">
        <f t="shared" si="2"/>
        <v>0</v>
      </c>
      <c r="AA16" s="110">
        <f t="shared" si="6"/>
        <v>0</v>
      </c>
      <c r="AB16" s="110">
        <f t="shared" si="7"/>
        <v>0</v>
      </c>
      <c r="AC16" s="371" t="s">
        <v>163</v>
      </c>
      <c r="AD16" s="371" t="s">
        <v>148</v>
      </c>
      <c r="AE16" s="371" t="s">
        <v>149</v>
      </c>
      <c r="AF16" s="47"/>
    </row>
    <row r="17" spans="1:32" hidden="1" x14ac:dyDescent="0.2">
      <c r="A17" s="14" t="str">
        <f t="shared" si="3"/>
        <v/>
      </c>
      <c r="B17" s="26" t="s">
        <v>466</v>
      </c>
      <c r="C17" s="315"/>
      <c r="D17" s="244"/>
      <c r="E17" s="26">
        <v>30</v>
      </c>
      <c r="F17" s="252" t="s">
        <v>0</v>
      </c>
      <c r="G17" s="292">
        <v>0.375</v>
      </c>
      <c r="H17" s="15" t="s">
        <v>66</v>
      </c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7">
        <f t="shared" si="4"/>
        <v>0</v>
      </c>
      <c r="T17" s="7" t="s">
        <v>493</v>
      </c>
      <c r="U17" s="66">
        <f>12.5*AF$2</f>
        <v>12.5</v>
      </c>
      <c r="V17" s="31">
        <f t="shared" si="5"/>
        <v>0</v>
      </c>
      <c r="W17" s="35">
        <f>Rate!D$9</f>
        <v>38</v>
      </c>
      <c r="X17" s="110">
        <f t="shared" si="0"/>
        <v>0</v>
      </c>
      <c r="Y17" s="110">
        <f t="shared" si="1"/>
        <v>0</v>
      </c>
      <c r="Z17" s="110">
        <f t="shared" si="2"/>
        <v>0</v>
      </c>
      <c r="AA17" s="110">
        <f t="shared" si="6"/>
        <v>0</v>
      </c>
      <c r="AB17" s="110">
        <f t="shared" si="7"/>
        <v>0</v>
      </c>
      <c r="AC17" s="371" t="s">
        <v>163</v>
      </c>
      <c r="AD17" s="371" t="s">
        <v>148</v>
      </c>
      <c r="AE17" s="371" t="s">
        <v>149</v>
      </c>
      <c r="AF17" s="47"/>
    </row>
    <row r="18" spans="1:32" hidden="1" x14ac:dyDescent="0.2">
      <c r="A18" s="14" t="str">
        <f t="shared" si="3"/>
        <v/>
      </c>
      <c r="B18" s="26" t="s">
        <v>466</v>
      </c>
      <c r="C18" s="315"/>
      <c r="D18" s="244"/>
      <c r="E18" s="26">
        <v>36</v>
      </c>
      <c r="F18" s="252" t="s">
        <v>0</v>
      </c>
      <c r="G18" s="292">
        <v>0.375</v>
      </c>
      <c r="H18" s="15" t="s">
        <v>66</v>
      </c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7">
        <f t="shared" si="4"/>
        <v>0</v>
      </c>
      <c r="T18" s="7" t="s">
        <v>493</v>
      </c>
      <c r="U18" s="66">
        <f>23*AF$2</f>
        <v>23</v>
      </c>
      <c r="V18" s="31">
        <f t="shared" si="5"/>
        <v>0</v>
      </c>
      <c r="W18" s="35">
        <f>Rate!D$9</f>
        <v>38</v>
      </c>
      <c r="X18" s="110">
        <f t="shared" si="0"/>
        <v>0</v>
      </c>
      <c r="Y18" s="110">
        <f t="shared" si="1"/>
        <v>0</v>
      </c>
      <c r="Z18" s="110">
        <f t="shared" si="2"/>
        <v>0</v>
      </c>
      <c r="AA18" s="110">
        <f t="shared" si="6"/>
        <v>0</v>
      </c>
      <c r="AB18" s="110">
        <f t="shared" si="7"/>
        <v>0</v>
      </c>
      <c r="AC18" s="371" t="s">
        <v>163</v>
      </c>
      <c r="AD18" s="371" t="s">
        <v>148</v>
      </c>
      <c r="AE18" s="371" t="s">
        <v>149</v>
      </c>
      <c r="AF18" s="47"/>
    </row>
    <row r="19" spans="1:32" hidden="1" x14ac:dyDescent="0.2">
      <c r="A19" s="14" t="str">
        <f t="shared" si="3"/>
        <v/>
      </c>
      <c r="B19" s="26" t="s">
        <v>466</v>
      </c>
      <c r="C19" s="315"/>
      <c r="D19" s="244"/>
      <c r="E19" s="26">
        <v>48</v>
      </c>
      <c r="F19" s="252" t="s">
        <v>0</v>
      </c>
      <c r="G19" s="292">
        <v>0.375</v>
      </c>
      <c r="H19" s="15" t="s">
        <v>66</v>
      </c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7">
        <f t="shared" si="4"/>
        <v>0</v>
      </c>
      <c r="T19" s="7" t="s">
        <v>493</v>
      </c>
      <c r="U19" s="66">
        <f>54.5*AF$2</f>
        <v>54.5</v>
      </c>
      <c r="V19" s="31">
        <f t="shared" si="5"/>
        <v>0</v>
      </c>
      <c r="W19" s="35">
        <f>Rate!D$9</f>
        <v>38</v>
      </c>
      <c r="X19" s="110">
        <f t="shared" si="0"/>
        <v>0</v>
      </c>
      <c r="Y19" s="110">
        <f t="shared" si="1"/>
        <v>0</v>
      </c>
      <c r="Z19" s="110">
        <f t="shared" si="2"/>
        <v>0</v>
      </c>
      <c r="AA19" s="110">
        <f t="shared" si="6"/>
        <v>0</v>
      </c>
      <c r="AB19" s="110">
        <f t="shared" si="7"/>
        <v>0</v>
      </c>
      <c r="AC19" s="371" t="s">
        <v>163</v>
      </c>
      <c r="AD19" s="371" t="s">
        <v>148</v>
      </c>
      <c r="AE19" s="371" t="s">
        <v>149</v>
      </c>
      <c r="AF19" s="47"/>
    </row>
    <row r="20" spans="1:32" hidden="1" x14ac:dyDescent="0.2">
      <c r="A20" s="14" t="str">
        <f t="shared" si="3"/>
        <v/>
      </c>
      <c r="B20" s="26" t="s">
        <v>466</v>
      </c>
      <c r="C20" s="315"/>
      <c r="D20" s="244"/>
      <c r="E20" s="26">
        <v>1</v>
      </c>
      <c r="F20" s="252" t="s">
        <v>1</v>
      </c>
      <c r="G20" s="292">
        <v>0.17899999999999999</v>
      </c>
      <c r="H20" s="15" t="s">
        <v>66</v>
      </c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7">
        <f t="shared" si="4"/>
        <v>0</v>
      </c>
      <c r="T20" s="7" t="s">
        <v>493</v>
      </c>
      <c r="U20" s="66">
        <f>0.8*AF$2</f>
        <v>0.8</v>
      </c>
      <c r="V20" s="31">
        <f t="shared" si="5"/>
        <v>0</v>
      </c>
      <c r="W20" s="35">
        <f>Rate!D$9</f>
        <v>38</v>
      </c>
      <c r="X20" s="110">
        <f t="shared" si="0"/>
        <v>0</v>
      </c>
      <c r="Y20" s="110">
        <f t="shared" si="1"/>
        <v>0</v>
      </c>
      <c r="Z20" s="110">
        <f t="shared" si="2"/>
        <v>0</v>
      </c>
      <c r="AA20" s="110">
        <f t="shared" si="6"/>
        <v>0</v>
      </c>
      <c r="AB20" s="110">
        <f t="shared" si="7"/>
        <v>0</v>
      </c>
      <c r="AC20" s="371" t="s">
        <v>163</v>
      </c>
      <c r="AD20" s="371" t="s">
        <v>148</v>
      </c>
      <c r="AE20" s="371" t="s">
        <v>149</v>
      </c>
      <c r="AF20" s="47"/>
    </row>
    <row r="21" spans="1:32" hidden="1" x14ac:dyDescent="0.2">
      <c r="A21" s="14" t="str">
        <f t="shared" si="3"/>
        <v/>
      </c>
      <c r="B21" s="26" t="s">
        <v>466</v>
      </c>
      <c r="C21" s="315"/>
      <c r="D21" s="244"/>
      <c r="E21" s="26">
        <v>1.5</v>
      </c>
      <c r="F21" s="252" t="s">
        <v>1</v>
      </c>
      <c r="G21" s="292">
        <v>0.2</v>
      </c>
      <c r="H21" s="15" t="s">
        <v>66</v>
      </c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7">
        <f t="shared" si="4"/>
        <v>0</v>
      </c>
      <c r="T21" s="7" t="s">
        <v>493</v>
      </c>
      <c r="U21" s="66">
        <f>0.9*AF$2</f>
        <v>0.9</v>
      </c>
      <c r="V21" s="31">
        <f t="shared" si="5"/>
        <v>0</v>
      </c>
      <c r="W21" s="35">
        <f>Rate!D$9</f>
        <v>38</v>
      </c>
      <c r="X21" s="110">
        <f t="shared" si="0"/>
        <v>0</v>
      </c>
      <c r="Y21" s="110">
        <f t="shared" si="1"/>
        <v>0</v>
      </c>
      <c r="Z21" s="110">
        <f t="shared" si="2"/>
        <v>0</v>
      </c>
      <c r="AA21" s="110">
        <f t="shared" si="6"/>
        <v>0</v>
      </c>
      <c r="AB21" s="110">
        <f t="shared" si="7"/>
        <v>0</v>
      </c>
      <c r="AC21" s="371" t="s">
        <v>163</v>
      </c>
      <c r="AD21" s="371" t="s">
        <v>148</v>
      </c>
      <c r="AE21" s="371" t="s">
        <v>149</v>
      </c>
      <c r="AF21" s="47"/>
    </row>
    <row r="22" spans="1:32" hidden="1" x14ac:dyDescent="0.2">
      <c r="A22" s="14" t="str">
        <f t="shared" si="3"/>
        <v/>
      </c>
      <c r="B22" s="26" t="s">
        <v>466</v>
      </c>
      <c r="C22" s="315"/>
      <c r="D22" s="244"/>
      <c r="E22" s="26">
        <v>2</v>
      </c>
      <c r="F22" s="252" t="s">
        <v>1</v>
      </c>
      <c r="G22" s="292">
        <v>0.218</v>
      </c>
      <c r="H22" s="15" t="s">
        <v>66</v>
      </c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7">
        <f t="shared" si="4"/>
        <v>0</v>
      </c>
      <c r="T22" s="7" t="s">
        <v>493</v>
      </c>
      <c r="U22" s="66">
        <f>1*AF$2</f>
        <v>1</v>
      </c>
      <c r="V22" s="31">
        <f t="shared" si="5"/>
        <v>0</v>
      </c>
      <c r="W22" s="35">
        <f>Rate!D$9</f>
        <v>38</v>
      </c>
      <c r="X22" s="110">
        <f t="shared" si="0"/>
        <v>0</v>
      </c>
      <c r="Y22" s="110">
        <f t="shared" si="1"/>
        <v>0</v>
      </c>
      <c r="Z22" s="110">
        <f t="shared" si="2"/>
        <v>0</v>
      </c>
      <c r="AA22" s="110">
        <f t="shared" si="6"/>
        <v>0</v>
      </c>
      <c r="AB22" s="110">
        <f t="shared" si="7"/>
        <v>0</v>
      </c>
      <c r="AC22" s="371" t="s">
        <v>163</v>
      </c>
      <c r="AD22" s="371" t="s">
        <v>148</v>
      </c>
      <c r="AE22" s="371" t="s">
        <v>149</v>
      </c>
      <c r="AF22" s="47"/>
    </row>
    <row r="23" spans="1:32" hidden="1" x14ac:dyDescent="0.2">
      <c r="A23" s="14" t="str">
        <f t="shared" si="3"/>
        <v/>
      </c>
      <c r="B23" s="26" t="s">
        <v>466</v>
      </c>
      <c r="C23" s="315"/>
      <c r="D23" s="244"/>
      <c r="E23" s="26">
        <v>3</v>
      </c>
      <c r="F23" s="252" t="s">
        <v>1</v>
      </c>
      <c r="G23" s="292">
        <v>0.3</v>
      </c>
      <c r="H23" s="15" t="s">
        <v>66</v>
      </c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7">
        <f t="shared" si="4"/>
        <v>0</v>
      </c>
      <c r="T23" s="7" t="s">
        <v>493</v>
      </c>
      <c r="U23" s="66">
        <f>1.4*AF$2</f>
        <v>1.4</v>
      </c>
      <c r="V23" s="31">
        <f t="shared" si="5"/>
        <v>0</v>
      </c>
      <c r="W23" s="35">
        <f>Rate!D$9</f>
        <v>38</v>
      </c>
      <c r="X23" s="110">
        <f t="shared" si="0"/>
        <v>0</v>
      </c>
      <c r="Y23" s="110">
        <f t="shared" si="1"/>
        <v>0</v>
      </c>
      <c r="Z23" s="110">
        <f t="shared" si="2"/>
        <v>0</v>
      </c>
      <c r="AA23" s="110">
        <f t="shared" si="6"/>
        <v>0</v>
      </c>
      <c r="AB23" s="110">
        <f t="shared" si="7"/>
        <v>0</v>
      </c>
      <c r="AC23" s="371" t="s">
        <v>163</v>
      </c>
      <c r="AD23" s="371" t="s">
        <v>148</v>
      </c>
      <c r="AE23" s="371" t="s">
        <v>149</v>
      </c>
      <c r="AF23" s="47"/>
    </row>
    <row r="24" spans="1:32" hidden="1" x14ac:dyDescent="0.2">
      <c r="A24" s="14" t="str">
        <f t="shared" si="3"/>
        <v/>
      </c>
      <c r="B24" s="26" t="s">
        <v>466</v>
      </c>
      <c r="C24" s="315"/>
      <c r="D24" s="244"/>
      <c r="E24" s="26">
        <v>4</v>
      </c>
      <c r="F24" s="252" t="s">
        <v>1</v>
      </c>
      <c r="G24" s="292">
        <v>0.33700000000000002</v>
      </c>
      <c r="H24" s="15" t="s">
        <v>66</v>
      </c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7">
        <f t="shared" si="4"/>
        <v>0</v>
      </c>
      <c r="T24" s="7" t="s">
        <v>493</v>
      </c>
      <c r="U24" s="66">
        <f>1.8*AF$2</f>
        <v>1.8</v>
      </c>
      <c r="V24" s="31">
        <f t="shared" si="5"/>
        <v>0</v>
      </c>
      <c r="W24" s="35">
        <f>Rate!D$9</f>
        <v>38</v>
      </c>
      <c r="X24" s="110">
        <f t="shared" si="0"/>
        <v>0</v>
      </c>
      <c r="Y24" s="110">
        <f t="shared" si="1"/>
        <v>0</v>
      </c>
      <c r="Z24" s="110">
        <f t="shared" si="2"/>
        <v>0</v>
      </c>
      <c r="AA24" s="110">
        <f t="shared" si="6"/>
        <v>0</v>
      </c>
      <c r="AB24" s="110">
        <f t="shared" si="7"/>
        <v>0</v>
      </c>
      <c r="AC24" s="371" t="s">
        <v>163</v>
      </c>
      <c r="AD24" s="371" t="s">
        <v>148</v>
      </c>
      <c r="AE24" s="371" t="s">
        <v>149</v>
      </c>
      <c r="AF24" s="47"/>
    </row>
    <row r="25" spans="1:32" hidden="1" x14ac:dyDescent="0.2">
      <c r="A25" s="14" t="str">
        <f t="shared" si="3"/>
        <v/>
      </c>
      <c r="B25" s="26" t="s">
        <v>466</v>
      </c>
      <c r="C25" s="315"/>
      <c r="D25" s="244"/>
      <c r="E25" s="26">
        <v>6</v>
      </c>
      <c r="F25" s="252" t="s">
        <v>1</v>
      </c>
      <c r="G25" s="292">
        <v>0.432</v>
      </c>
      <c r="H25" s="15" t="s">
        <v>66</v>
      </c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7">
        <f t="shared" si="4"/>
        <v>0</v>
      </c>
      <c r="T25" s="7" t="s">
        <v>493</v>
      </c>
      <c r="U25" s="66">
        <f>2.5*AF$2</f>
        <v>2.5</v>
      </c>
      <c r="V25" s="31">
        <f t="shared" si="5"/>
        <v>0</v>
      </c>
      <c r="W25" s="35">
        <f>Rate!D$9</f>
        <v>38</v>
      </c>
      <c r="X25" s="110">
        <f t="shared" si="0"/>
        <v>0</v>
      </c>
      <c r="Y25" s="110">
        <f t="shared" si="1"/>
        <v>0</v>
      </c>
      <c r="Z25" s="110">
        <f t="shared" si="2"/>
        <v>0</v>
      </c>
      <c r="AA25" s="110">
        <f t="shared" si="6"/>
        <v>0</v>
      </c>
      <c r="AB25" s="110">
        <f t="shared" si="7"/>
        <v>0</v>
      </c>
      <c r="AC25" s="371" t="s">
        <v>163</v>
      </c>
      <c r="AD25" s="371" t="s">
        <v>148</v>
      </c>
      <c r="AE25" s="371" t="s">
        <v>149</v>
      </c>
      <c r="AF25" s="47"/>
    </row>
    <row r="26" spans="1:32" hidden="1" x14ac:dyDescent="0.2">
      <c r="A26" s="14" t="str">
        <f t="shared" si="3"/>
        <v/>
      </c>
      <c r="B26" s="26" t="s">
        <v>466</v>
      </c>
      <c r="C26" s="315"/>
      <c r="D26" s="244"/>
      <c r="E26" s="26">
        <v>8</v>
      </c>
      <c r="F26" s="252" t="s">
        <v>1</v>
      </c>
      <c r="G26" s="292">
        <v>0.5</v>
      </c>
      <c r="H26" s="15" t="s">
        <v>66</v>
      </c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7">
        <f t="shared" si="4"/>
        <v>0</v>
      </c>
      <c r="T26" s="7" t="s">
        <v>493</v>
      </c>
      <c r="U26" s="66">
        <f>3.3*AF$2</f>
        <v>3.3</v>
      </c>
      <c r="V26" s="31">
        <f t="shared" si="5"/>
        <v>0</v>
      </c>
      <c r="W26" s="35">
        <f>Rate!D$9</f>
        <v>38</v>
      </c>
      <c r="X26" s="110">
        <f t="shared" si="0"/>
        <v>0</v>
      </c>
      <c r="Y26" s="110">
        <f t="shared" si="1"/>
        <v>0</v>
      </c>
      <c r="Z26" s="110">
        <f t="shared" si="2"/>
        <v>0</v>
      </c>
      <c r="AA26" s="110">
        <f t="shared" si="6"/>
        <v>0</v>
      </c>
      <c r="AB26" s="110">
        <f t="shared" si="7"/>
        <v>0</v>
      </c>
      <c r="AC26" s="371" t="s">
        <v>163</v>
      </c>
      <c r="AD26" s="371" t="s">
        <v>148</v>
      </c>
      <c r="AE26" s="371" t="s">
        <v>149</v>
      </c>
      <c r="AF26" s="47"/>
    </row>
    <row r="27" spans="1:32" hidden="1" x14ac:dyDescent="0.2">
      <c r="A27" s="14" t="str">
        <f t="shared" si="3"/>
        <v/>
      </c>
      <c r="B27" s="26" t="s">
        <v>466</v>
      </c>
      <c r="C27" s="315"/>
      <c r="D27" s="244"/>
      <c r="E27" s="26">
        <v>10</v>
      </c>
      <c r="F27" s="252" t="s">
        <v>1</v>
      </c>
      <c r="G27" s="292">
        <v>0.5</v>
      </c>
      <c r="H27" s="15" t="s">
        <v>66</v>
      </c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7">
        <f t="shared" si="4"/>
        <v>0</v>
      </c>
      <c r="T27" s="7" t="s">
        <v>493</v>
      </c>
      <c r="U27" s="66">
        <f>4*AF$2</f>
        <v>4</v>
      </c>
      <c r="V27" s="31">
        <f t="shared" si="5"/>
        <v>0</v>
      </c>
      <c r="W27" s="35">
        <f>Rate!D$9</f>
        <v>38</v>
      </c>
      <c r="X27" s="110">
        <f t="shared" si="0"/>
        <v>0</v>
      </c>
      <c r="Y27" s="110">
        <f t="shared" si="1"/>
        <v>0</v>
      </c>
      <c r="Z27" s="110">
        <f t="shared" si="2"/>
        <v>0</v>
      </c>
      <c r="AA27" s="110">
        <f t="shared" si="6"/>
        <v>0</v>
      </c>
      <c r="AB27" s="110">
        <f t="shared" si="7"/>
        <v>0</v>
      </c>
      <c r="AC27" s="371" t="s">
        <v>163</v>
      </c>
      <c r="AD27" s="371" t="s">
        <v>148</v>
      </c>
      <c r="AE27" s="371" t="s">
        <v>149</v>
      </c>
      <c r="AF27" s="47"/>
    </row>
    <row r="28" spans="1:32" hidden="1" x14ac:dyDescent="0.2">
      <c r="A28" s="14" t="str">
        <f t="shared" si="3"/>
        <v/>
      </c>
      <c r="B28" s="26" t="s">
        <v>466</v>
      </c>
      <c r="C28" s="315"/>
      <c r="D28" s="244"/>
      <c r="E28" s="26">
        <v>12</v>
      </c>
      <c r="F28" s="252" t="s">
        <v>1</v>
      </c>
      <c r="G28" s="292">
        <v>0.5</v>
      </c>
      <c r="H28" s="15" t="s">
        <v>66</v>
      </c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7">
        <f t="shared" si="4"/>
        <v>0</v>
      </c>
      <c r="T28" s="7" t="s">
        <v>493</v>
      </c>
      <c r="U28" s="66">
        <f>4.7*AF$2</f>
        <v>4.7</v>
      </c>
      <c r="V28" s="31">
        <f t="shared" si="5"/>
        <v>0</v>
      </c>
      <c r="W28" s="35">
        <f>Rate!D$9</f>
        <v>38</v>
      </c>
      <c r="X28" s="110">
        <f t="shared" si="0"/>
        <v>0</v>
      </c>
      <c r="Y28" s="110">
        <f t="shared" si="1"/>
        <v>0</v>
      </c>
      <c r="Z28" s="110">
        <f t="shared" si="2"/>
        <v>0</v>
      </c>
      <c r="AA28" s="110">
        <f t="shared" si="6"/>
        <v>0</v>
      </c>
      <c r="AB28" s="110">
        <f t="shared" si="7"/>
        <v>0</v>
      </c>
      <c r="AC28" s="371" t="s">
        <v>163</v>
      </c>
      <c r="AD28" s="371" t="s">
        <v>148</v>
      </c>
      <c r="AE28" s="371" t="s">
        <v>149</v>
      </c>
      <c r="AF28" s="47"/>
    </row>
    <row r="29" spans="1:32" hidden="1" x14ac:dyDescent="0.2">
      <c r="A29" s="14" t="str">
        <f t="shared" si="3"/>
        <v/>
      </c>
      <c r="B29" s="26" t="s">
        <v>466</v>
      </c>
      <c r="C29" s="315"/>
      <c r="D29" s="244"/>
      <c r="E29" s="26">
        <v>14</v>
      </c>
      <c r="F29" s="252" t="s">
        <v>1</v>
      </c>
      <c r="G29" s="292">
        <v>0.5</v>
      </c>
      <c r="H29" s="15" t="s">
        <v>66</v>
      </c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7">
        <f t="shared" si="4"/>
        <v>0</v>
      </c>
      <c r="T29" s="7" t="s">
        <v>493</v>
      </c>
      <c r="U29" s="66">
        <f>5.7*AF$2</f>
        <v>5.7</v>
      </c>
      <c r="V29" s="31">
        <f t="shared" si="5"/>
        <v>0</v>
      </c>
      <c r="W29" s="35">
        <f>Rate!D$9</f>
        <v>38</v>
      </c>
      <c r="X29" s="110">
        <f t="shared" si="0"/>
        <v>0</v>
      </c>
      <c r="Y29" s="110">
        <f t="shared" si="1"/>
        <v>0</v>
      </c>
      <c r="Z29" s="110">
        <f t="shared" si="2"/>
        <v>0</v>
      </c>
      <c r="AA29" s="110">
        <f t="shared" si="6"/>
        <v>0</v>
      </c>
      <c r="AB29" s="110">
        <f t="shared" si="7"/>
        <v>0</v>
      </c>
      <c r="AC29" s="371" t="s">
        <v>163</v>
      </c>
      <c r="AD29" s="371" t="s">
        <v>148</v>
      </c>
      <c r="AE29" s="371" t="s">
        <v>149</v>
      </c>
      <c r="AF29" s="47"/>
    </row>
    <row r="30" spans="1:32" hidden="1" x14ac:dyDescent="0.2">
      <c r="A30" s="14" t="str">
        <f t="shared" si="3"/>
        <v/>
      </c>
      <c r="B30" s="26" t="s">
        <v>466</v>
      </c>
      <c r="C30" s="315"/>
      <c r="D30" s="244"/>
      <c r="E30" s="26">
        <v>16</v>
      </c>
      <c r="F30" s="252" t="s">
        <v>1</v>
      </c>
      <c r="G30" s="292">
        <v>0.5</v>
      </c>
      <c r="H30" s="15" t="s">
        <v>66</v>
      </c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7">
        <f t="shared" si="4"/>
        <v>0</v>
      </c>
      <c r="T30" s="7" t="s">
        <v>493</v>
      </c>
      <c r="U30" s="66">
        <f>6.6*AF$2</f>
        <v>6.6</v>
      </c>
      <c r="V30" s="31">
        <f t="shared" si="5"/>
        <v>0</v>
      </c>
      <c r="W30" s="35">
        <f>Rate!D$9</f>
        <v>38</v>
      </c>
      <c r="X30" s="110">
        <f t="shared" si="0"/>
        <v>0</v>
      </c>
      <c r="Y30" s="110">
        <f t="shared" si="1"/>
        <v>0</v>
      </c>
      <c r="Z30" s="110">
        <f t="shared" si="2"/>
        <v>0</v>
      </c>
      <c r="AA30" s="110">
        <f t="shared" si="6"/>
        <v>0</v>
      </c>
      <c r="AB30" s="110">
        <f t="shared" si="7"/>
        <v>0</v>
      </c>
      <c r="AC30" s="371" t="s">
        <v>163</v>
      </c>
      <c r="AD30" s="371" t="s">
        <v>148</v>
      </c>
      <c r="AE30" s="371" t="s">
        <v>149</v>
      </c>
      <c r="AF30" s="47"/>
    </row>
    <row r="31" spans="1:32" hidden="1" x14ac:dyDescent="0.2">
      <c r="A31" s="14" t="str">
        <f t="shared" si="3"/>
        <v/>
      </c>
      <c r="B31" s="26" t="s">
        <v>466</v>
      </c>
      <c r="C31" s="315"/>
      <c r="D31" s="244"/>
      <c r="E31" s="26">
        <v>18</v>
      </c>
      <c r="F31" s="252" t="s">
        <v>1</v>
      </c>
      <c r="G31" s="292">
        <v>0.5</v>
      </c>
      <c r="H31" s="15" t="s">
        <v>66</v>
      </c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7">
        <f t="shared" si="4"/>
        <v>0</v>
      </c>
      <c r="T31" s="7" t="s">
        <v>493</v>
      </c>
      <c r="U31" s="66">
        <f>7.7*AF$2</f>
        <v>7.7</v>
      </c>
      <c r="V31" s="31">
        <f t="shared" si="5"/>
        <v>0</v>
      </c>
      <c r="W31" s="35">
        <f>Rate!D$9</f>
        <v>38</v>
      </c>
      <c r="X31" s="110">
        <f t="shared" si="0"/>
        <v>0</v>
      </c>
      <c r="Y31" s="110">
        <f t="shared" si="1"/>
        <v>0</v>
      </c>
      <c r="Z31" s="110">
        <f t="shared" si="2"/>
        <v>0</v>
      </c>
      <c r="AA31" s="110">
        <f t="shared" si="6"/>
        <v>0</v>
      </c>
      <c r="AB31" s="110">
        <f t="shared" si="7"/>
        <v>0</v>
      </c>
      <c r="AC31" s="371" t="s">
        <v>163</v>
      </c>
      <c r="AD31" s="371" t="s">
        <v>148</v>
      </c>
      <c r="AE31" s="371" t="s">
        <v>149</v>
      </c>
      <c r="AF31" s="47"/>
    </row>
    <row r="32" spans="1:32" hidden="1" x14ac:dyDescent="0.2">
      <c r="A32" s="14" t="str">
        <f t="shared" si="3"/>
        <v/>
      </c>
      <c r="B32" s="26" t="s">
        <v>466</v>
      </c>
      <c r="C32" s="315"/>
      <c r="D32" s="244"/>
      <c r="E32" s="26">
        <v>20</v>
      </c>
      <c r="F32" s="252" t="s">
        <v>1</v>
      </c>
      <c r="G32" s="292">
        <v>0.5</v>
      </c>
      <c r="H32" s="15" t="s">
        <v>66</v>
      </c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7">
        <f t="shared" si="4"/>
        <v>0</v>
      </c>
      <c r="T32" s="7" t="s">
        <v>493</v>
      </c>
      <c r="U32" s="66">
        <f>8.4*AF$2</f>
        <v>8.4</v>
      </c>
      <c r="V32" s="31">
        <f t="shared" si="5"/>
        <v>0</v>
      </c>
      <c r="W32" s="35">
        <f>Rate!D$9</f>
        <v>38</v>
      </c>
      <c r="X32" s="110">
        <f t="shared" si="0"/>
        <v>0</v>
      </c>
      <c r="Y32" s="110">
        <f t="shared" si="1"/>
        <v>0</v>
      </c>
      <c r="Z32" s="110">
        <f t="shared" si="2"/>
        <v>0</v>
      </c>
      <c r="AA32" s="110">
        <f t="shared" si="6"/>
        <v>0</v>
      </c>
      <c r="AB32" s="110">
        <f t="shared" si="7"/>
        <v>0</v>
      </c>
      <c r="AC32" s="371" t="s">
        <v>163</v>
      </c>
      <c r="AD32" s="371" t="s">
        <v>148</v>
      </c>
      <c r="AE32" s="371" t="s">
        <v>149</v>
      </c>
      <c r="AF32" s="47"/>
    </row>
    <row r="33" spans="1:32" hidden="1" x14ac:dyDescent="0.2">
      <c r="A33" s="14" t="str">
        <f t="shared" si="3"/>
        <v/>
      </c>
      <c r="B33" s="26" t="s">
        <v>466</v>
      </c>
      <c r="C33" s="315"/>
      <c r="D33" s="244"/>
      <c r="E33" s="26">
        <v>24</v>
      </c>
      <c r="F33" s="252" t="s">
        <v>1</v>
      </c>
      <c r="G33" s="292">
        <v>0.5</v>
      </c>
      <c r="H33" s="15" t="s">
        <v>66</v>
      </c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7">
        <f t="shared" si="4"/>
        <v>0</v>
      </c>
      <c r="T33" s="7" t="s">
        <v>493</v>
      </c>
      <c r="U33" s="66">
        <f>10.1*AF$2</f>
        <v>10.1</v>
      </c>
      <c r="V33" s="31">
        <f t="shared" si="5"/>
        <v>0</v>
      </c>
      <c r="W33" s="35">
        <f>Rate!D$9</f>
        <v>38</v>
      </c>
      <c r="X33" s="110">
        <f t="shared" si="0"/>
        <v>0</v>
      </c>
      <c r="Y33" s="110">
        <f t="shared" si="1"/>
        <v>0</v>
      </c>
      <c r="Z33" s="110">
        <f t="shared" si="2"/>
        <v>0</v>
      </c>
      <c r="AA33" s="110">
        <f t="shared" si="6"/>
        <v>0</v>
      </c>
      <c r="AB33" s="110">
        <f t="shared" si="7"/>
        <v>0</v>
      </c>
      <c r="AC33" s="371" t="s">
        <v>163</v>
      </c>
      <c r="AD33" s="371" t="s">
        <v>148</v>
      </c>
      <c r="AE33" s="371" t="s">
        <v>149</v>
      </c>
      <c r="AF33" s="47"/>
    </row>
    <row r="34" spans="1:32" hidden="1" x14ac:dyDescent="0.2">
      <c r="A34" s="14" t="str">
        <f t="shared" si="3"/>
        <v/>
      </c>
      <c r="B34" s="26" t="s">
        <v>466</v>
      </c>
      <c r="C34" s="315"/>
      <c r="D34" s="244"/>
      <c r="E34" s="26">
        <v>30</v>
      </c>
      <c r="F34" s="252" t="s">
        <v>1</v>
      </c>
      <c r="G34" s="292">
        <v>0.5</v>
      </c>
      <c r="H34" s="15" t="s">
        <v>66</v>
      </c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7">
        <f t="shared" si="4"/>
        <v>0</v>
      </c>
      <c r="T34" s="7" t="s">
        <v>493</v>
      </c>
      <c r="U34" s="66">
        <f>15.2*AF$2</f>
        <v>15.2</v>
      </c>
      <c r="V34" s="31">
        <f t="shared" si="5"/>
        <v>0</v>
      </c>
      <c r="W34" s="35">
        <f>Rate!D$9</f>
        <v>38</v>
      </c>
      <c r="X34" s="110">
        <f t="shared" si="0"/>
        <v>0</v>
      </c>
      <c r="Y34" s="110">
        <f t="shared" si="1"/>
        <v>0</v>
      </c>
      <c r="Z34" s="110">
        <f t="shared" si="2"/>
        <v>0</v>
      </c>
      <c r="AA34" s="110">
        <f t="shared" si="6"/>
        <v>0</v>
      </c>
      <c r="AB34" s="110">
        <f t="shared" si="7"/>
        <v>0</v>
      </c>
      <c r="AC34" s="371" t="s">
        <v>163</v>
      </c>
      <c r="AD34" s="371" t="s">
        <v>148</v>
      </c>
      <c r="AE34" s="371" t="s">
        <v>149</v>
      </c>
      <c r="AF34" s="47"/>
    </row>
    <row r="35" spans="1:32" hidden="1" x14ac:dyDescent="0.2">
      <c r="A35" s="14" t="str">
        <f t="shared" ref="A35:A81" si="8">+IF(AB35&lt;&gt;0,"X","")</f>
        <v/>
      </c>
      <c r="B35" s="26" t="s">
        <v>466</v>
      </c>
      <c r="C35" s="315"/>
      <c r="D35" s="244"/>
      <c r="E35" s="26">
        <v>36</v>
      </c>
      <c r="F35" s="252" t="s">
        <v>1</v>
      </c>
      <c r="G35" s="292">
        <v>0.5</v>
      </c>
      <c r="H35" s="15" t="s">
        <v>66</v>
      </c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7">
        <f t="shared" ref="S35:S94" si="9">SUM(I35:R35)</f>
        <v>0</v>
      </c>
      <c r="T35" s="7" t="s">
        <v>493</v>
      </c>
      <c r="U35" s="66">
        <f>24.7*AF$2</f>
        <v>24.7</v>
      </c>
      <c r="V35" s="31">
        <f t="shared" ref="V35:V66" si="10">+S35*U35</f>
        <v>0</v>
      </c>
      <c r="W35" s="35">
        <f>Rate!D$9</f>
        <v>38</v>
      </c>
      <c r="X35" s="110">
        <f t="shared" si="0"/>
        <v>0</v>
      </c>
      <c r="Y35" s="110">
        <f t="shared" si="1"/>
        <v>0</v>
      </c>
      <c r="Z35" s="110">
        <f t="shared" si="2"/>
        <v>0</v>
      </c>
      <c r="AA35" s="110">
        <f t="shared" ref="AA35:AA66" si="11">IF(H35="E",B35*S35*W35,0)</f>
        <v>0</v>
      </c>
      <c r="AB35" s="110">
        <f t="shared" ref="AB35:AB94" si="12">SUM(X35:AA35)</f>
        <v>0</v>
      </c>
      <c r="AC35" s="371" t="s">
        <v>163</v>
      </c>
      <c r="AD35" s="371" t="s">
        <v>148</v>
      </c>
      <c r="AE35" s="371" t="s">
        <v>149</v>
      </c>
      <c r="AF35" s="47"/>
    </row>
    <row r="36" spans="1:32" hidden="1" x14ac:dyDescent="0.2">
      <c r="A36" s="14" t="str">
        <f t="shared" si="8"/>
        <v/>
      </c>
      <c r="B36" s="26" t="s">
        <v>466</v>
      </c>
      <c r="C36" s="315"/>
      <c r="D36" s="244"/>
      <c r="E36" s="26">
        <v>48</v>
      </c>
      <c r="F36" s="252" t="s">
        <v>1</v>
      </c>
      <c r="G36" s="292">
        <v>0.5</v>
      </c>
      <c r="H36" s="15" t="s">
        <v>66</v>
      </c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7">
        <f t="shared" si="9"/>
        <v>0</v>
      </c>
      <c r="T36" s="7" t="s">
        <v>493</v>
      </c>
      <c r="U36" s="66">
        <f>59.9*AF$2</f>
        <v>59.9</v>
      </c>
      <c r="V36" s="31">
        <f t="shared" si="10"/>
        <v>0</v>
      </c>
      <c r="W36" s="35">
        <f>Rate!D$9</f>
        <v>38</v>
      </c>
      <c r="X36" s="110">
        <f t="shared" si="0"/>
        <v>0</v>
      </c>
      <c r="Y36" s="110">
        <f t="shared" si="1"/>
        <v>0</v>
      </c>
      <c r="Z36" s="110">
        <f t="shared" si="2"/>
        <v>0</v>
      </c>
      <c r="AA36" s="110">
        <f t="shared" si="11"/>
        <v>0</v>
      </c>
      <c r="AB36" s="110">
        <f t="shared" si="12"/>
        <v>0</v>
      </c>
      <c r="AC36" s="371" t="s">
        <v>163</v>
      </c>
      <c r="AD36" s="371" t="s">
        <v>148</v>
      </c>
      <c r="AE36" s="371" t="s">
        <v>149</v>
      </c>
      <c r="AF36" s="47"/>
    </row>
    <row r="37" spans="1:32" hidden="1" x14ac:dyDescent="0.2">
      <c r="A37" s="14" t="str">
        <f t="shared" si="8"/>
        <v/>
      </c>
      <c r="B37" s="26" t="s">
        <v>466</v>
      </c>
      <c r="C37" s="316"/>
      <c r="D37" s="265"/>
      <c r="E37" s="277">
        <v>12</v>
      </c>
      <c r="F37" s="286">
        <v>40</v>
      </c>
      <c r="G37" s="293">
        <v>0.40600000000000003</v>
      </c>
      <c r="H37" s="15" t="s">
        <v>66</v>
      </c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7">
        <f t="shared" si="9"/>
        <v>0</v>
      </c>
      <c r="T37" s="7" t="s">
        <v>493</v>
      </c>
      <c r="U37" s="138">
        <f>3.82*AF$2</f>
        <v>3.82</v>
      </c>
      <c r="V37" s="31">
        <f t="shared" si="10"/>
        <v>0</v>
      </c>
      <c r="W37" s="35">
        <f>Rate!D$9</f>
        <v>38</v>
      </c>
      <c r="X37" s="110">
        <f t="shared" si="0"/>
        <v>0</v>
      </c>
      <c r="Y37" s="110">
        <f t="shared" si="1"/>
        <v>0</v>
      </c>
      <c r="Z37" s="110">
        <f t="shared" si="2"/>
        <v>0</v>
      </c>
      <c r="AA37" s="110">
        <f t="shared" si="11"/>
        <v>0</v>
      </c>
      <c r="AB37" s="110">
        <f t="shared" si="12"/>
        <v>0</v>
      </c>
      <c r="AC37" s="371" t="s">
        <v>163</v>
      </c>
      <c r="AD37" s="371" t="s">
        <v>148</v>
      </c>
      <c r="AE37" s="371" t="s">
        <v>149</v>
      </c>
      <c r="AF37" s="47"/>
    </row>
    <row r="38" spans="1:32" hidden="1" x14ac:dyDescent="0.2">
      <c r="A38" s="14" t="str">
        <f t="shared" si="8"/>
        <v/>
      </c>
      <c r="B38" s="26" t="s">
        <v>466</v>
      </c>
      <c r="C38" s="316"/>
      <c r="D38" s="265"/>
      <c r="E38" s="277">
        <v>14</v>
      </c>
      <c r="F38" s="286">
        <v>40</v>
      </c>
      <c r="G38" s="293">
        <v>0.437</v>
      </c>
      <c r="H38" s="15" t="s">
        <v>66</v>
      </c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7">
        <f t="shared" si="9"/>
        <v>0</v>
      </c>
      <c r="T38" s="7" t="s">
        <v>493</v>
      </c>
      <c r="U38" s="138">
        <f>4.98*AF$2</f>
        <v>4.9800000000000004</v>
      </c>
      <c r="V38" s="31">
        <f t="shared" si="10"/>
        <v>0</v>
      </c>
      <c r="W38" s="35">
        <f>Rate!D$9</f>
        <v>38</v>
      </c>
      <c r="X38" s="110">
        <f t="shared" si="0"/>
        <v>0</v>
      </c>
      <c r="Y38" s="110">
        <f t="shared" si="1"/>
        <v>0</v>
      </c>
      <c r="Z38" s="110">
        <f t="shared" si="2"/>
        <v>0</v>
      </c>
      <c r="AA38" s="110">
        <f t="shared" si="11"/>
        <v>0</v>
      </c>
      <c r="AB38" s="110">
        <f t="shared" si="12"/>
        <v>0</v>
      </c>
      <c r="AC38" s="371" t="s">
        <v>163</v>
      </c>
      <c r="AD38" s="371" t="s">
        <v>148</v>
      </c>
      <c r="AE38" s="371" t="s">
        <v>149</v>
      </c>
      <c r="AF38" s="47"/>
    </row>
    <row r="39" spans="1:32" hidden="1" x14ac:dyDescent="0.2">
      <c r="A39" s="14" t="str">
        <f t="shared" si="8"/>
        <v/>
      </c>
      <c r="B39" s="26" t="s">
        <v>466</v>
      </c>
      <c r="C39" s="316"/>
      <c r="D39" s="265"/>
      <c r="E39" s="277">
        <v>16</v>
      </c>
      <c r="F39" s="286">
        <v>40</v>
      </c>
      <c r="G39" s="293">
        <v>0.5</v>
      </c>
      <c r="H39" s="15" t="s">
        <v>66</v>
      </c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7">
        <f t="shared" si="9"/>
        <v>0</v>
      </c>
      <c r="T39" s="7" t="s">
        <v>493</v>
      </c>
      <c r="U39" s="138">
        <f>6.6*AF$2</f>
        <v>6.6</v>
      </c>
      <c r="V39" s="31">
        <f t="shared" si="10"/>
        <v>0</v>
      </c>
      <c r="W39" s="35">
        <f>Rate!D$9</f>
        <v>38</v>
      </c>
      <c r="X39" s="110">
        <f t="shared" si="0"/>
        <v>0</v>
      </c>
      <c r="Y39" s="110">
        <f t="shared" si="1"/>
        <v>0</v>
      </c>
      <c r="Z39" s="110">
        <f t="shared" si="2"/>
        <v>0</v>
      </c>
      <c r="AA39" s="110">
        <f t="shared" si="11"/>
        <v>0</v>
      </c>
      <c r="AB39" s="110">
        <f t="shared" si="12"/>
        <v>0</v>
      </c>
      <c r="AC39" s="371" t="s">
        <v>163</v>
      </c>
      <c r="AD39" s="371" t="s">
        <v>148</v>
      </c>
      <c r="AE39" s="371" t="s">
        <v>149</v>
      </c>
      <c r="AF39" s="47"/>
    </row>
    <row r="40" spans="1:32" hidden="1" x14ac:dyDescent="0.2">
      <c r="A40" s="14" t="str">
        <f t="shared" si="8"/>
        <v/>
      </c>
      <c r="B40" s="26" t="s">
        <v>466</v>
      </c>
      <c r="C40" s="316"/>
      <c r="D40" s="265"/>
      <c r="E40" s="277">
        <v>18</v>
      </c>
      <c r="F40" s="286">
        <v>40</v>
      </c>
      <c r="G40" s="293">
        <v>0.56200000000000006</v>
      </c>
      <c r="H40" s="15" t="s">
        <v>66</v>
      </c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7">
        <f t="shared" si="9"/>
        <v>0</v>
      </c>
      <c r="T40" s="7" t="s">
        <v>493</v>
      </c>
      <c r="U40" s="138">
        <f>8.66*AF$2</f>
        <v>8.66</v>
      </c>
      <c r="V40" s="31">
        <f t="shared" si="10"/>
        <v>0</v>
      </c>
      <c r="W40" s="35">
        <f>Rate!D$9</f>
        <v>38</v>
      </c>
      <c r="X40" s="110">
        <f t="shared" si="0"/>
        <v>0</v>
      </c>
      <c r="Y40" s="110">
        <f t="shared" si="1"/>
        <v>0</v>
      </c>
      <c r="Z40" s="110">
        <f t="shared" si="2"/>
        <v>0</v>
      </c>
      <c r="AA40" s="110">
        <f t="shared" si="11"/>
        <v>0</v>
      </c>
      <c r="AB40" s="110">
        <f t="shared" si="12"/>
        <v>0</v>
      </c>
      <c r="AC40" s="371" t="s">
        <v>163</v>
      </c>
      <c r="AD40" s="371" t="s">
        <v>148</v>
      </c>
      <c r="AE40" s="371" t="s">
        <v>149</v>
      </c>
      <c r="AF40" s="47"/>
    </row>
    <row r="41" spans="1:32" hidden="1" x14ac:dyDescent="0.2">
      <c r="A41" s="14" t="str">
        <f t="shared" si="8"/>
        <v/>
      </c>
      <c r="B41" s="26" t="s">
        <v>466</v>
      </c>
      <c r="C41" s="316"/>
      <c r="D41" s="265"/>
      <c r="E41" s="277">
        <v>20</v>
      </c>
      <c r="F41" s="286">
        <v>40</v>
      </c>
      <c r="G41" s="293">
        <v>0.59299999999999997</v>
      </c>
      <c r="H41" s="15" t="s">
        <v>66</v>
      </c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7">
        <f t="shared" si="9"/>
        <v>0</v>
      </c>
      <c r="T41" s="7" t="s">
        <v>493</v>
      </c>
      <c r="U41" s="138">
        <f>9.97*AF$2</f>
        <v>9.9700000000000006</v>
      </c>
      <c r="V41" s="31">
        <f t="shared" si="10"/>
        <v>0</v>
      </c>
      <c r="W41" s="35">
        <f>Rate!D$9</f>
        <v>38</v>
      </c>
      <c r="X41" s="110">
        <f t="shared" si="0"/>
        <v>0</v>
      </c>
      <c r="Y41" s="110">
        <f t="shared" si="1"/>
        <v>0</v>
      </c>
      <c r="Z41" s="110">
        <f t="shared" si="2"/>
        <v>0</v>
      </c>
      <c r="AA41" s="110">
        <f t="shared" si="11"/>
        <v>0</v>
      </c>
      <c r="AB41" s="110">
        <f t="shared" si="12"/>
        <v>0</v>
      </c>
      <c r="AC41" s="371" t="s">
        <v>163</v>
      </c>
      <c r="AD41" s="371" t="s">
        <v>148</v>
      </c>
      <c r="AE41" s="371" t="s">
        <v>149</v>
      </c>
      <c r="AF41" s="47"/>
    </row>
    <row r="42" spans="1:32" hidden="1" x14ac:dyDescent="0.2">
      <c r="A42" s="14" t="str">
        <f t="shared" si="8"/>
        <v/>
      </c>
      <c r="B42" s="26" t="s">
        <v>466</v>
      </c>
      <c r="C42" s="316"/>
      <c r="D42" s="265"/>
      <c r="E42" s="277">
        <v>24</v>
      </c>
      <c r="F42" s="286">
        <v>40</v>
      </c>
      <c r="G42" s="293">
        <v>0.68700000000000006</v>
      </c>
      <c r="H42" s="15" t="s">
        <v>66</v>
      </c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7">
        <f t="shared" si="9"/>
        <v>0</v>
      </c>
      <c r="T42" s="7" t="s">
        <v>493</v>
      </c>
      <c r="U42" s="138">
        <f>13.88*AF$2</f>
        <v>13.88</v>
      </c>
      <c r="V42" s="31">
        <f t="shared" si="10"/>
        <v>0</v>
      </c>
      <c r="W42" s="35">
        <f>Rate!D$9</f>
        <v>38</v>
      </c>
      <c r="X42" s="110">
        <f t="shared" si="0"/>
        <v>0</v>
      </c>
      <c r="Y42" s="110">
        <f t="shared" si="1"/>
        <v>0</v>
      </c>
      <c r="Z42" s="110">
        <f t="shared" si="2"/>
        <v>0</v>
      </c>
      <c r="AA42" s="110">
        <f t="shared" si="11"/>
        <v>0</v>
      </c>
      <c r="AB42" s="110">
        <f t="shared" si="12"/>
        <v>0</v>
      </c>
      <c r="AC42" s="371" t="s">
        <v>163</v>
      </c>
      <c r="AD42" s="371" t="s">
        <v>148</v>
      </c>
      <c r="AE42" s="371" t="s">
        <v>149</v>
      </c>
      <c r="AF42" s="47"/>
    </row>
    <row r="43" spans="1:32" hidden="1" x14ac:dyDescent="0.2">
      <c r="A43" s="14" t="str">
        <f t="shared" si="8"/>
        <v/>
      </c>
      <c r="B43" s="26" t="s">
        <v>466</v>
      </c>
      <c r="C43" s="316"/>
      <c r="D43" s="265"/>
      <c r="E43" s="277">
        <v>10</v>
      </c>
      <c r="F43" s="286">
        <v>80</v>
      </c>
      <c r="G43" s="293">
        <v>0.59299999999999997</v>
      </c>
      <c r="H43" s="15" t="s">
        <v>66</v>
      </c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7">
        <f t="shared" si="9"/>
        <v>0</v>
      </c>
      <c r="T43" s="7" t="s">
        <v>493</v>
      </c>
      <c r="U43" s="138">
        <f>4.75*AF$2</f>
        <v>4.75</v>
      </c>
      <c r="V43" s="31">
        <f t="shared" si="10"/>
        <v>0</v>
      </c>
      <c r="W43" s="35">
        <f>Rate!D$9</f>
        <v>38</v>
      </c>
      <c r="X43" s="110">
        <f t="shared" si="0"/>
        <v>0</v>
      </c>
      <c r="Y43" s="110">
        <f t="shared" si="1"/>
        <v>0</v>
      </c>
      <c r="Z43" s="110">
        <f t="shared" si="2"/>
        <v>0</v>
      </c>
      <c r="AA43" s="110">
        <f t="shared" si="11"/>
        <v>0</v>
      </c>
      <c r="AB43" s="110">
        <f t="shared" si="12"/>
        <v>0</v>
      </c>
      <c r="AC43" s="371" t="s">
        <v>163</v>
      </c>
      <c r="AD43" s="371" t="s">
        <v>148</v>
      </c>
      <c r="AE43" s="371" t="s">
        <v>149</v>
      </c>
      <c r="AF43" s="47"/>
    </row>
    <row r="44" spans="1:32" hidden="1" x14ac:dyDescent="0.2">
      <c r="A44" s="14" t="str">
        <f t="shared" si="8"/>
        <v/>
      </c>
      <c r="B44" s="26" t="s">
        <v>466</v>
      </c>
      <c r="C44" s="316"/>
      <c r="D44" s="265"/>
      <c r="E44" s="277">
        <v>12</v>
      </c>
      <c r="F44" s="286">
        <v>80</v>
      </c>
      <c r="G44" s="293">
        <v>0.68700000000000006</v>
      </c>
      <c r="H44" s="15" t="s">
        <v>66</v>
      </c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7">
        <f t="shared" ref="S44:S49" si="13">SUM(I44:R44)</f>
        <v>0</v>
      </c>
      <c r="T44" s="7" t="s">
        <v>493</v>
      </c>
      <c r="U44" s="138">
        <f>6.46*AF$2</f>
        <v>6.46</v>
      </c>
      <c r="V44" s="31">
        <f t="shared" si="10"/>
        <v>0</v>
      </c>
      <c r="W44" s="35">
        <f>Rate!D$9</f>
        <v>38</v>
      </c>
      <c r="X44" s="110">
        <f t="shared" si="0"/>
        <v>0</v>
      </c>
      <c r="Y44" s="110">
        <f t="shared" si="1"/>
        <v>0</v>
      </c>
      <c r="Z44" s="110">
        <f t="shared" si="2"/>
        <v>0</v>
      </c>
      <c r="AA44" s="110">
        <f t="shared" si="11"/>
        <v>0</v>
      </c>
      <c r="AB44" s="110">
        <f t="shared" ref="AB44:AB49" si="14">SUM(X44:AA44)</f>
        <v>0</v>
      </c>
      <c r="AC44" s="371" t="s">
        <v>163</v>
      </c>
      <c r="AD44" s="371" t="s">
        <v>148</v>
      </c>
      <c r="AE44" s="371" t="s">
        <v>149</v>
      </c>
      <c r="AF44" s="47"/>
    </row>
    <row r="45" spans="1:32" hidden="1" x14ac:dyDescent="0.2">
      <c r="A45" s="14" t="str">
        <f t="shared" si="8"/>
        <v/>
      </c>
      <c r="B45" s="26" t="s">
        <v>466</v>
      </c>
      <c r="C45" s="316"/>
      <c r="D45" s="265"/>
      <c r="E45" s="277">
        <v>14</v>
      </c>
      <c r="F45" s="286">
        <v>80</v>
      </c>
      <c r="G45" s="293">
        <v>0.75</v>
      </c>
      <c r="H45" s="15" t="s">
        <v>66</v>
      </c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7">
        <f t="shared" si="13"/>
        <v>0</v>
      </c>
      <c r="T45" s="7" t="s">
        <v>493</v>
      </c>
      <c r="U45" s="138">
        <f>8.55*AF$2</f>
        <v>8.5500000000000007</v>
      </c>
      <c r="V45" s="31">
        <f t="shared" si="10"/>
        <v>0</v>
      </c>
      <c r="W45" s="35">
        <f>Rate!D$9</f>
        <v>38</v>
      </c>
      <c r="X45" s="110">
        <f t="shared" si="0"/>
        <v>0</v>
      </c>
      <c r="Y45" s="110">
        <f t="shared" si="1"/>
        <v>0</v>
      </c>
      <c r="Z45" s="110">
        <f t="shared" si="2"/>
        <v>0</v>
      </c>
      <c r="AA45" s="110">
        <f t="shared" si="11"/>
        <v>0</v>
      </c>
      <c r="AB45" s="110">
        <f t="shared" si="14"/>
        <v>0</v>
      </c>
      <c r="AC45" s="371" t="s">
        <v>163</v>
      </c>
      <c r="AD45" s="371" t="s">
        <v>148</v>
      </c>
      <c r="AE45" s="371" t="s">
        <v>149</v>
      </c>
      <c r="AF45" s="47"/>
    </row>
    <row r="46" spans="1:32" hidden="1" x14ac:dyDescent="0.2">
      <c r="A46" s="14" t="str">
        <f t="shared" si="8"/>
        <v/>
      </c>
      <c r="B46" s="26" t="s">
        <v>466</v>
      </c>
      <c r="C46" s="316"/>
      <c r="D46" s="265"/>
      <c r="E46" s="277">
        <v>16</v>
      </c>
      <c r="F46" s="286">
        <v>80</v>
      </c>
      <c r="G46" s="293">
        <v>0.84299999999999997</v>
      </c>
      <c r="H46" s="15" t="s">
        <v>66</v>
      </c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7">
        <f t="shared" si="13"/>
        <v>0</v>
      </c>
      <c r="T46" s="7" t="s">
        <v>493</v>
      </c>
      <c r="U46" s="138">
        <f>11.13*AF$2</f>
        <v>11.13</v>
      </c>
      <c r="V46" s="31">
        <f t="shared" si="10"/>
        <v>0</v>
      </c>
      <c r="W46" s="35">
        <f>Rate!D$9</f>
        <v>38</v>
      </c>
      <c r="X46" s="110">
        <f t="shared" si="0"/>
        <v>0</v>
      </c>
      <c r="Y46" s="110">
        <f t="shared" si="1"/>
        <v>0</v>
      </c>
      <c r="Z46" s="110">
        <f t="shared" si="2"/>
        <v>0</v>
      </c>
      <c r="AA46" s="110">
        <f t="shared" si="11"/>
        <v>0</v>
      </c>
      <c r="AB46" s="110">
        <f t="shared" si="14"/>
        <v>0</v>
      </c>
      <c r="AC46" s="371" t="s">
        <v>163</v>
      </c>
      <c r="AD46" s="371" t="s">
        <v>148</v>
      </c>
      <c r="AE46" s="371" t="s">
        <v>149</v>
      </c>
      <c r="AF46" s="47"/>
    </row>
    <row r="47" spans="1:32" hidden="1" x14ac:dyDescent="0.2">
      <c r="A47" s="14" t="str">
        <f t="shared" si="8"/>
        <v/>
      </c>
      <c r="B47" s="26" t="s">
        <v>466</v>
      </c>
      <c r="C47" s="316"/>
      <c r="D47" s="265"/>
      <c r="E47" s="277">
        <v>18</v>
      </c>
      <c r="F47" s="286">
        <v>80</v>
      </c>
      <c r="G47" s="293">
        <v>0.93700000000000006</v>
      </c>
      <c r="H47" s="15" t="s">
        <v>66</v>
      </c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7">
        <f t="shared" si="13"/>
        <v>0</v>
      </c>
      <c r="T47" s="7" t="s">
        <v>493</v>
      </c>
      <c r="U47" s="138">
        <f>14.43*AF$2</f>
        <v>14.43</v>
      </c>
      <c r="V47" s="31">
        <f t="shared" si="10"/>
        <v>0</v>
      </c>
      <c r="W47" s="35">
        <f>Rate!D$9</f>
        <v>38</v>
      </c>
      <c r="X47" s="110">
        <f t="shared" si="0"/>
        <v>0</v>
      </c>
      <c r="Y47" s="110">
        <f t="shared" si="1"/>
        <v>0</v>
      </c>
      <c r="Z47" s="110">
        <f t="shared" si="2"/>
        <v>0</v>
      </c>
      <c r="AA47" s="110">
        <f t="shared" si="11"/>
        <v>0</v>
      </c>
      <c r="AB47" s="110">
        <f t="shared" si="14"/>
        <v>0</v>
      </c>
      <c r="AC47" s="371" t="s">
        <v>163</v>
      </c>
      <c r="AD47" s="371" t="s">
        <v>148</v>
      </c>
      <c r="AE47" s="371" t="s">
        <v>149</v>
      </c>
      <c r="AF47" s="47"/>
    </row>
    <row r="48" spans="1:32" hidden="1" x14ac:dyDescent="0.2">
      <c r="A48" s="14" t="str">
        <f t="shared" si="8"/>
        <v/>
      </c>
      <c r="B48" s="26" t="s">
        <v>466</v>
      </c>
      <c r="C48" s="316"/>
      <c r="D48" s="265"/>
      <c r="E48" s="277">
        <v>20</v>
      </c>
      <c r="F48" s="286">
        <v>80</v>
      </c>
      <c r="G48" s="293">
        <v>1.0309999999999999</v>
      </c>
      <c r="H48" s="15" t="s">
        <v>66</v>
      </c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7">
        <f t="shared" si="13"/>
        <v>0</v>
      </c>
      <c r="T48" s="7" t="s">
        <v>493</v>
      </c>
      <c r="U48" s="138">
        <f>17.33*AF$2</f>
        <v>17.329999999999998</v>
      </c>
      <c r="V48" s="31">
        <f t="shared" si="10"/>
        <v>0</v>
      </c>
      <c r="W48" s="35">
        <f>Rate!D$9</f>
        <v>38</v>
      </c>
      <c r="X48" s="110">
        <f t="shared" si="0"/>
        <v>0</v>
      </c>
      <c r="Y48" s="110">
        <f t="shared" si="1"/>
        <v>0</v>
      </c>
      <c r="Z48" s="110">
        <f t="shared" si="2"/>
        <v>0</v>
      </c>
      <c r="AA48" s="110">
        <f t="shared" si="11"/>
        <v>0</v>
      </c>
      <c r="AB48" s="110">
        <f t="shared" si="14"/>
        <v>0</v>
      </c>
      <c r="AC48" s="371" t="s">
        <v>163</v>
      </c>
      <c r="AD48" s="371" t="s">
        <v>148</v>
      </c>
      <c r="AE48" s="371" t="s">
        <v>149</v>
      </c>
      <c r="AF48" s="47"/>
    </row>
    <row r="49" spans="1:32" hidden="1" x14ac:dyDescent="0.2">
      <c r="A49" s="14" t="str">
        <f t="shared" si="8"/>
        <v/>
      </c>
      <c r="B49" s="26" t="s">
        <v>466</v>
      </c>
      <c r="C49" s="316"/>
      <c r="D49" s="265"/>
      <c r="E49" s="277">
        <v>24</v>
      </c>
      <c r="F49" s="286">
        <v>80</v>
      </c>
      <c r="G49" s="293">
        <v>1.218</v>
      </c>
      <c r="H49" s="15" t="s">
        <v>66</v>
      </c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7">
        <f t="shared" si="13"/>
        <v>0</v>
      </c>
      <c r="T49" s="7" t="s">
        <v>493</v>
      </c>
      <c r="U49" s="138">
        <f>24.61*AF$2</f>
        <v>24.61</v>
      </c>
      <c r="V49" s="31">
        <f t="shared" si="10"/>
        <v>0</v>
      </c>
      <c r="W49" s="35">
        <f>Rate!D$9</f>
        <v>38</v>
      </c>
      <c r="X49" s="110">
        <f t="shared" si="0"/>
        <v>0</v>
      </c>
      <c r="Y49" s="110">
        <f t="shared" si="1"/>
        <v>0</v>
      </c>
      <c r="Z49" s="110">
        <f t="shared" si="2"/>
        <v>0</v>
      </c>
      <c r="AA49" s="110">
        <f t="shared" si="11"/>
        <v>0</v>
      </c>
      <c r="AB49" s="110">
        <f t="shared" si="14"/>
        <v>0</v>
      </c>
      <c r="AC49" s="371" t="s">
        <v>163</v>
      </c>
      <c r="AD49" s="371" t="s">
        <v>148</v>
      </c>
      <c r="AE49" s="371" t="s">
        <v>149</v>
      </c>
      <c r="AF49" s="47"/>
    </row>
    <row r="50" spans="1:32" hidden="1" x14ac:dyDescent="0.2">
      <c r="A50" s="14" t="str">
        <f t="shared" si="8"/>
        <v/>
      </c>
      <c r="B50" s="26" t="s">
        <v>466</v>
      </c>
      <c r="C50" s="315"/>
      <c r="D50" s="244"/>
      <c r="E50" s="26">
        <v>1</v>
      </c>
      <c r="F50" s="252">
        <v>160</v>
      </c>
      <c r="G50" s="292">
        <v>0.25</v>
      </c>
      <c r="H50" s="15" t="s">
        <v>66</v>
      </c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7">
        <f t="shared" si="9"/>
        <v>0</v>
      </c>
      <c r="T50" s="7" t="s">
        <v>493</v>
      </c>
      <c r="U50" s="66">
        <f>1*AF$2</f>
        <v>1</v>
      </c>
      <c r="V50" s="31">
        <f t="shared" si="10"/>
        <v>0</v>
      </c>
      <c r="W50" s="35">
        <f>Rate!D$9</f>
        <v>38</v>
      </c>
      <c r="X50" s="110">
        <f t="shared" si="0"/>
        <v>0</v>
      </c>
      <c r="Y50" s="110">
        <f t="shared" si="1"/>
        <v>0</v>
      </c>
      <c r="Z50" s="110">
        <f t="shared" si="2"/>
        <v>0</v>
      </c>
      <c r="AA50" s="110">
        <f t="shared" si="11"/>
        <v>0</v>
      </c>
      <c r="AB50" s="110">
        <f t="shared" si="12"/>
        <v>0</v>
      </c>
      <c r="AC50" s="371" t="s">
        <v>163</v>
      </c>
      <c r="AD50" s="371" t="s">
        <v>148</v>
      </c>
      <c r="AE50" s="371" t="s">
        <v>149</v>
      </c>
      <c r="AF50" s="47"/>
    </row>
    <row r="51" spans="1:32" hidden="1" x14ac:dyDescent="0.2">
      <c r="A51" s="14" t="str">
        <f t="shared" si="8"/>
        <v/>
      </c>
      <c r="B51" s="26" t="s">
        <v>466</v>
      </c>
      <c r="C51" s="315"/>
      <c r="D51" s="244"/>
      <c r="E51" s="26">
        <v>1.5</v>
      </c>
      <c r="F51" s="252">
        <v>160</v>
      </c>
      <c r="G51" s="292">
        <v>0.28100000000000003</v>
      </c>
      <c r="H51" s="15" t="s">
        <v>66</v>
      </c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7">
        <f t="shared" si="9"/>
        <v>0</v>
      </c>
      <c r="T51" s="7" t="s">
        <v>493</v>
      </c>
      <c r="U51" s="66">
        <f>1.3*AF$2</f>
        <v>1.3</v>
      </c>
      <c r="V51" s="31">
        <f t="shared" si="10"/>
        <v>0</v>
      </c>
      <c r="W51" s="35">
        <f>Rate!D$9</f>
        <v>38</v>
      </c>
      <c r="X51" s="110">
        <f t="shared" si="0"/>
        <v>0</v>
      </c>
      <c r="Y51" s="110">
        <f t="shared" si="1"/>
        <v>0</v>
      </c>
      <c r="Z51" s="110">
        <f t="shared" si="2"/>
        <v>0</v>
      </c>
      <c r="AA51" s="110">
        <f t="shared" si="11"/>
        <v>0</v>
      </c>
      <c r="AB51" s="110">
        <f t="shared" si="12"/>
        <v>0</v>
      </c>
      <c r="AC51" s="371" t="s">
        <v>163</v>
      </c>
      <c r="AD51" s="371" t="s">
        <v>148</v>
      </c>
      <c r="AE51" s="371" t="s">
        <v>149</v>
      </c>
      <c r="AF51" s="47"/>
    </row>
    <row r="52" spans="1:32" hidden="1" x14ac:dyDescent="0.2">
      <c r="A52" s="14" t="str">
        <f t="shared" si="8"/>
        <v/>
      </c>
      <c r="B52" s="26" t="s">
        <v>466</v>
      </c>
      <c r="C52" s="315"/>
      <c r="D52" s="244"/>
      <c r="E52" s="26">
        <v>2</v>
      </c>
      <c r="F52" s="252">
        <v>160</v>
      </c>
      <c r="G52" s="292">
        <v>0.34300000000000003</v>
      </c>
      <c r="H52" s="15" t="s">
        <v>66</v>
      </c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7">
        <f t="shared" si="9"/>
        <v>0</v>
      </c>
      <c r="T52" s="7" t="s">
        <v>493</v>
      </c>
      <c r="U52" s="66">
        <f>1.6*AF$2</f>
        <v>1.6</v>
      </c>
      <c r="V52" s="31">
        <f t="shared" si="10"/>
        <v>0</v>
      </c>
      <c r="W52" s="35">
        <f>Rate!D$9</f>
        <v>38</v>
      </c>
      <c r="X52" s="110">
        <f t="shared" si="0"/>
        <v>0</v>
      </c>
      <c r="Y52" s="110">
        <f t="shared" si="1"/>
        <v>0</v>
      </c>
      <c r="Z52" s="110">
        <f t="shared" si="2"/>
        <v>0</v>
      </c>
      <c r="AA52" s="110">
        <f t="shared" si="11"/>
        <v>0</v>
      </c>
      <c r="AB52" s="110">
        <f t="shared" si="12"/>
        <v>0</v>
      </c>
      <c r="AC52" s="371" t="s">
        <v>163</v>
      </c>
      <c r="AD52" s="371" t="s">
        <v>148</v>
      </c>
      <c r="AE52" s="371" t="s">
        <v>149</v>
      </c>
      <c r="AF52" s="47"/>
    </row>
    <row r="53" spans="1:32" hidden="1" x14ac:dyDescent="0.2">
      <c r="A53" s="14" t="str">
        <f t="shared" si="8"/>
        <v/>
      </c>
      <c r="B53" s="26" t="s">
        <v>466</v>
      </c>
      <c r="C53" s="315"/>
      <c r="D53" s="244"/>
      <c r="E53" s="26">
        <v>3</v>
      </c>
      <c r="F53" s="252">
        <v>160</v>
      </c>
      <c r="G53" s="292">
        <v>0.437</v>
      </c>
      <c r="H53" s="15" t="s">
        <v>66</v>
      </c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7">
        <f t="shared" si="9"/>
        <v>0</v>
      </c>
      <c r="T53" s="7" t="s">
        <v>493</v>
      </c>
      <c r="U53" s="66">
        <f>2.1*AF$2</f>
        <v>2.1</v>
      </c>
      <c r="V53" s="31">
        <f t="shared" si="10"/>
        <v>0</v>
      </c>
      <c r="W53" s="35">
        <f>Rate!D$9</f>
        <v>38</v>
      </c>
      <c r="X53" s="110">
        <f t="shared" si="0"/>
        <v>0</v>
      </c>
      <c r="Y53" s="110">
        <f t="shared" si="1"/>
        <v>0</v>
      </c>
      <c r="Z53" s="110">
        <f t="shared" si="2"/>
        <v>0</v>
      </c>
      <c r="AA53" s="110">
        <f t="shared" si="11"/>
        <v>0</v>
      </c>
      <c r="AB53" s="110">
        <f t="shared" si="12"/>
        <v>0</v>
      </c>
      <c r="AC53" s="371" t="s">
        <v>163</v>
      </c>
      <c r="AD53" s="371" t="s">
        <v>148</v>
      </c>
      <c r="AE53" s="371" t="s">
        <v>149</v>
      </c>
      <c r="AF53" s="47"/>
    </row>
    <row r="54" spans="1:32" hidden="1" x14ac:dyDescent="0.2">
      <c r="A54" s="14" t="str">
        <f t="shared" si="8"/>
        <v/>
      </c>
      <c r="B54" s="26" t="s">
        <v>466</v>
      </c>
      <c r="C54" s="315"/>
      <c r="D54" s="244"/>
      <c r="E54" s="26">
        <v>4</v>
      </c>
      <c r="F54" s="252">
        <v>160</v>
      </c>
      <c r="G54" s="292">
        <v>0.53100000000000003</v>
      </c>
      <c r="H54" s="15" t="s">
        <v>66</v>
      </c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7">
        <f t="shared" si="9"/>
        <v>0</v>
      </c>
      <c r="T54" s="7" t="s">
        <v>493</v>
      </c>
      <c r="U54" s="66">
        <f>3*AF$2</f>
        <v>3</v>
      </c>
      <c r="V54" s="31">
        <f t="shared" si="10"/>
        <v>0</v>
      </c>
      <c r="W54" s="35">
        <f>Rate!D$9</f>
        <v>38</v>
      </c>
      <c r="X54" s="110">
        <f t="shared" si="0"/>
        <v>0</v>
      </c>
      <c r="Y54" s="110">
        <f t="shared" si="1"/>
        <v>0</v>
      </c>
      <c r="Z54" s="110">
        <f t="shared" si="2"/>
        <v>0</v>
      </c>
      <c r="AA54" s="110">
        <f t="shared" si="11"/>
        <v>0</v>
      </c>
      <c r="AB54" s="110">
        <f t="shared" si="12"/>
        <v>0</v>
      </c>
      <c r="AC54" s="371" t="s">
        <v>163</v>
      </c>
      <c r="AD54" s="371" t="s">
        <v>148</v>
      </c>
      <c r="AE54" s="371" t="s">
        <v>149</v>
      </c>
      <c r="AF54" s="47"/>
    </row>
    <row r="55" spans="1:32" hidden="1" x14ac:dyDescent="0.2">
      <c r="A55" s="14" t="str">
        <f t="shared" si="8"/>
        <v/>
      </c>
      <c r="B55" s="26" t="s">
        <v>466</v>
      </c>
      <c r="C55" s="315"/>
      <c r="D55" s="244"/>
      <c r="E55" s="26">
        <v>6</v>
      </c>
      <c r="F55" s="252">
        <v>160</v>
      </c>
      <c r="G55" s="292">
        <v>0.71799999999999997</v>
      </c>
      <c r="H55" s="15" t="s">
        <v>66</v>
      </c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7">
        <f t="shared" si="9"/>
        <v>0</v>
      </c>
      <c r="T55" s="7" t="s">
        <v>493</v>
      </c>
      <c r="U55" s="66">
        <f>4.9*AF$2</f>
        <v>4.9000000000000004</v>
      </c>
      <c r="V55" s="31">
        <f t="shared" si="10"/>
        <v>0</v>
      </c>
      <c r="W55" s="35">
        <f>Rate!D$9</f>
        <v>38</v>
      </c>
      <c r="X55" s="110">
        <f t="shared" si="0"/>
        <v>0</v>
      </c>
      <c r="Y55" s="110">
        <f t="shared" si="1"/>
        <v>0</v>
      </c>
      <c r="Z55" s="110">
        <f t="shared" si="2"/>
        <v>0</v>
      </c>
      <c r="AA55" s="110">
        <f t="shared" si="11"/>
        <v>0</v>
      </c>
      <c r="AB55" s="110">
        <f t="shared" si="12"/>
        <v>0</v>
      </c>
      <c r="AC55" s="371" t="s">
        <v>163</v>
      </c>
      <c r="AD55" s="371" t="s">
        <v>148</v>
      </c>
      <c r="AE55" s="371" t="s">
        <v>149</v>
      </c>
      <c r="AF55" s="47"/>
    </row>
    <row r="56" spans="1:32" hidden="1" x14ac:dyDescent="0.2">
      <c r="A56" s="14" t="str">
        <f t="shared" si="8"/>
        <v/>
      </c>
      <c r="B56" s="26" t="s">
        <v>466</v>
      </c>
      <c r="C56" s="315"/>
      <c r="D56" s="244"/>
      <c r="E56" s="26">
        <v>8</v>
      </c>
      <c r="F56" s="252">
        <v>160</v>
      </c>
      <c r="G56" s="292">
        <v>0.90600000000000003</v>
      </c>
      <c r="H56" s="15" t="s">
        <v>66</v>
      </c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7">
        <f t="shared" si="9"/>
        <v>0</v>
      </c>
      <c r="T56" s="7" t="s">
        <v>493</v>
      </c>
      <c r="U56" s="66">
        <f>8.6*AF$2</f>
        <v>8.6</v>
      </c>
      <c r="V56" s="31">
        <f t="shared" si="10"/>
        <v>0</v>
      </c>
      <c r="W56" s="35">
        <f>Rate!D$9</f>
        <v>38</v>
      </c>
      <c r="X56" s="110">
        <f t="shared" si="0"/>
        <v>0</v>
      </c>
      <c r="Y56" s="110">
        <f t="shared" si="1"/>
        <v>0</v>
      </c>
      <c r="Z56" s="110">
        <f t="shared" si="2"/>
        <v>0</v>
      </c>
      <c r="AA56" s="110">
        <f t="shared" si="11"/>
        <v>0</v>
      </c>
      <c r="AB56" s="110">
        <f t="shared" si="12"/>
        <v>0</v>
      </c>
      <c r="AC56" s="371" t="s">
        <v>163</v>
      </c>
      <c r="AD56" s="371" t="s">
        <v>148</v>
      </c>
      <c r="AE56" s="371" t="s">
        <v>149</v>
      </c>
      <c r="AF56" s="47"/>
    </row>
    <row r="57" spans="1:32" hidden="1" x14ac:dyDescent="0.2">
      <c r="A57" s="14" t="str">
        <f t="shared" si="8"/>
        <v/>
      </c>
      <c r="B57" s="26" t="s">
        <v>466</v>
      </c>
      <c r="C57" s="315"/>
      <c r="D57" s="244"/>
      <c r="E57" s="26">
        <v>10</v>
      </c>
      <c r="F57" s="252">
        <v>160</v>
      </c>
      <c r="G57" s="292">
        <v>1.125</v>
      </c>
      <c r="H57" s="15" t="s">
        <v>66</v>
      </c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7">
        <f t="shared" si="9"/>
        <v>0</v>
      </c>
      <c r="T57" s="7" t="s">
        <v>493</v>
      </c>
      <c r="U57" s="66">
        <f>13.1*AF$2</f>
        <v>13.1</v>
      </c>
      <c r="V57" s="31">
        <f t="shared" si="10"/>
        <v>0</v>
      </c>
      <c r="W57" s="35">
        <f>Rate!D$9</f>
        <v>38</v>
      </c>
      <c r="X57" s="110">
        <f t="shared" si="0"/>
        <v>0</v>
      </c>
      <c r="Y57" s="110">
        <f t="shared" si="1"/>
        <v>0</v>
      </c>
      <c r="Z57" s="110">
        <f t="shared" si="2"/>
        <v>0</v>
      </c>
      <c r="AA57" s="110">
        <f t="shared" si="11"/>
        <v>0</v>
      </c>
      <c r="AB57" s="110">
        <f t="shared" si="12"/>
        <v>0</v>
      </c>
      <c r="AC57" s="371" t="s">
        <v>163</v>
      </c>
      <c r="AD57" s="371" t="s">
        <v>148</v>
      </c>
      <c r="AE57" s="371" t="s">
        <v>149</v>
      </c>
      <c r="AF57" s="47"/>
    </row>
    <row r="58" spans="1:32" hidden="1" x14ac:dyDescent="0.2">
      <c r="A58" s="14" t="str">
        <f t="shared" si="8"/>
        <v/>
      </c>
      <c r="B58" s="26" t="s">
        <v>466</v>
      </c>
      <c r="C58" s="315"/>
      <c r="D58" s="244"/>
      <c r="E58" s="26">
        <v>12</v>
      </c>
      <c r="F58" s="252">
        <v>160</v>
      </c>
      <c r="G58" s="292">
        <v>1.3120000000000001</v>
      </c>
      <c r="H58" s="15" t="s">
        <v>66</v>
      </c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7">
        <f t="shared" si="9"/>
        <v>0</v>
      </c>
      <c r="T58" s="7" t="s">
        <v>493</v>
      </c>
      <c r="U58" s="66">
        <f>17.9*AF$2</f>
        <v>17.899999999999999</v>
      </c>
      <c r="V58" s="31">
        <f t="shared" si="10"/>
        <v>0</v>
      </c>
      <c r="W58" s="35">
        <f>Rate!D$9</f>
        <v>38</v>
      </c>
      <c r="X58" s="110">
        <f t="shared" si="0"/>
        <v>0</v>
      </c>
      <c r="Y58" s="110">
        <f t="shared" si="1"/>
        <v>0</v>
      </c>
      <c r="Z58" s="110">
        <f t="shared" si="2"/>
        <v>0</v>
      </c>
      <c r="AA58" s="110">
        <f t="shared" si="11"/>
        <v>0</v>
      </c>
      <c r="AB58" s="110">
        <f t="shared" si="12"/>
        <v>0</v>
      </c>
      <c r="AC58" s="371" t="s">
        <v>163</v>
      </c>
      <c r="AD58" s="371" t="s">
        <v>148</v>
      </c>
      <c r="AE58" s="371" t="s">
        <v>149</v>
      </c>
      <c r="AF58" s="47"/>
    </row>
    <row r="59" spans="1:32" hidden="1" x14ac:dyDescent="0.2">
      <c r="A59" s="14" t="str">
        <f t="shared" si="8"/>
        <v/>
      </c>
      <c r="B59" s="26" t="s">
        <v>466</v>
      </c>
      <c r="C59" s="315"/>
      <c r="D59" s="244"/>
      <c r="E59" s="26">
        <v>14</v>
      </c>
      <c r="F59" s="252">
        <v>160</v>
      </c>
      <c r="G59" s="292">
        <v>1.4059999999999999</v>
      </c>
      <c r="H59" s="15" t="s">
        <v>66</v>
      </c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7">
        <f t="shared" si="9"/>
        <v>0</v>
      </c>
      <c r="T59" s="7" t="s">
        <v>493</v>
      </c>
      <c r="U59" s="66">
        <f>22.7*AF$2</f>
        <v>22.7</v>
      </c>
      <c r="V59" s="31">
        <f t="shared" si="10"/>
        <v>0</v>
      </c>
      <c r="W59" s="35">
        <f>Rate!D$9</f>
        <v>38</v>
      </c>
      <c r="X59" s="110">
        <f t="shared" si="0"/>
        <v>0</v>
      </c>
      <c r="Y59" s="110">
        <f t="shared" si="1"/>
        <v>0</v>
      </c>
      <c r="Z59" s="110">
        <f t="shared" si="2"/>
        <v>0</v>
      </c>
      <c r="AA59" s="110">
        <f t="shared" si="11"/>
        <v>0</v>
      </c>
      <c r="AB59" s="110">
        <f t="shared" si="12"/>
        <v>0</v>
      </c>
      <c r="AC59" s="371" t="s">
        <v>163</v>
      </c>
      <c r="AD59" s="371" t="s">
        <v>148</v>
      </c>
      <c r="AE59" s="371" t="s">
        <v>149</v>
      </c>
      <c r="AF59" s="47"/>
    </row>
    <row r="60" spans="1:32" hidden="1" x14ac:dyDescent="0.2">
      <c r="A60" s="14" t="str">
        <f t="shared" si="8"/>
        <v/>
      </c>
      <c r="B60" s="26" t="s">
        <v>626</v>
      </c>
      <c r="C60" s="315"/>
      <c r="D60" s="244"/>
      <c r="E60" s="26">
        <v>4</v>
      </c>
      <c r="F60" s="252" t="s">
        <v>85</v>
      </c>
      <c r="G60" s="292" t="s">
        <v>579</v>
      </c>
      <c r="H60" s="15" t="s">
        <v>66</v>
      </c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7">
        <f t="shared" ref="S60:S74" si="15">SUM(I60:R60)</f>
        <v>0</v>
      </c>
      <c r="T60" s="7" t="s">
        <v>493</v>
      </c>
      <c r="U60" s="66">
        <f>0.71*AF$2</f>
        <v>0.71</v>
      </c>
      <c r="V60" s="31">
        <f t="shared" si="10"/>
        <v>0</v>
      </c>
      <c r="W60" s="35">
        <f>Rate!D$9</f>
        <v>38</v>
      </c>
      <c r="X60" s="110">
        <f t="shared" si="0"/>
        <v>0</v>
      </c>
      <c r="Y60" s="110">
        <f t="shared" si="1"/>
        <v>0</v>
      </c>
      <c r="Z60" s="110">
        <f t="shared" si="2"/>
        <v>0</v>
      </c>
      <c r="AA60" s="110">
        <f t="shared" si="11"/>
        <v>0</v>
      </c>
      <c r="AB60" s="110">
        <f t="shared" ref="AB60:AB74" si="16">SUM(X60:AA60)</f>
        <v>0</v>
      </c>
      <c r="AC60" s="371" t="s">
        <v>163</v>
      </c>
      <c r="AD60" s="371" t="s">
        <v>148</v>
      </c>
      <c r="AE60" s="371" t="s">
        <v>149</v>
      </c>
      <c r="AF60" s="47"/>
    </row>
    <row r="61" spans="1:32" hidden="1" x14ac:dyDescent="0.2">
      <c r="A61" s="14" t="str">
        <f t="shared" si="8"/>
        <v/>
      </c>
      <c r="B61" s="26" t="s">
        <v>626</v>
      </c>
      <c r="C61" s="315"/>
      <c r="D61" s="244"/>
      <c r="E61" s="26">
        <v>6</v>
      </c>
      <c r="F61" s="252" t="s">
        <v>85</v>
      </c>
      <c r="G61" s="292" t="s">
        <v>580</v>
      </c>
      <c r="H61" s="15" t="s">
        <v>66</v>
      </c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7">
        <f t="shared" si="15"/>
        <v>0</v>
      </c>
      <c r="T61" s="7" t="s">
        <v>493</v>
      </c>
      <c r="U61" s="66">
        <f>0.94*AF$2</f>
        <v>0.94</v>
      </c>
      <c r="V61" s="31">
        <f t="shared" si="10"/>
        <v>0</v>
      </c>
      <c r="W61" s="35">
        <f>Rate!D$9</f>
        <v>38</v>
      </c>
      <c r="X61" s="110">
        <f t="shared" si="0"/>
        <v>0</v>
      </c>
      <c r="Y61" s="110">
        <f t="shared" si="1"/>
        <v>0</v>
      </c>
      <c r="Z61" s="110">
        <f t="shared" si="2"/>
        <v>0</v>
      </c>
      <c r="AA61" s="110">
        <f t="shared" si="11"/>
        <v>0</v>
      </c>
      <c r="AB61" s="110">
        <f t="shared" si="16"/>
        <v>0</v>
      </c>
      <c r="AC61" s="371" t="s">
        <v>163</v>
      </c>
      <c r="AD61" s="371" t="s">
        <v>148</v>
      </c>
      <c r="AE61" s="371" t="s">
        <v>149</v>
      </c>
      <c r="AF61" s="47"/>
    </row>
    <row r="62" spans="1:32" hidden="1" x14ac:dyDescent="0.2">
      <c r="A62" s="14" t="str">
        <f t="shared" si="8"/>
        <v/>
      </c>
      <c r="B62" s="26" t="s">
        <v>626</v>
      </c>
      <c r="C62" s="315"/>
      <c r="D62" s="244"/>
      <c r="E62" s="26">
        <v>8</v>
      </c>
      <c r="F62" s="252" t="s">
        <v>85</v>
      </c>
      <c r="G62" s="292" t="s">
        <v>581</v>
      </c>
      <c r="H62" s="15" t="s">
        <v>66</v>
      </c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7">
        <f t="shared" si="15"/>
        <v>0</v>
      </c>
      <c r="T62" s="7" t="s">
        <v>493</v>
      </c>
      <c r="U62" s="66">
        <f>1.18*AF$2</f>
        <v>1.18</v>
      </c>
      <c r="V62" s="31">
        <f t="shared" si="10"/>
        <v>0</v>
      </c>
      <c r="W62" s="35">
        <f>Rate!D$9</f>
        <v>38</v>
      </c>
      <c r="X62" s="110">
        <f t="shared" si="0"/>
        <v>0</v>
      </c>
      <c r="Y62" s="110">
        <f t="shared" si="1"/>
        <v>0</v>
      </c>
      <c r="Z62" s="110">
        <f t="shared" si="2"/>
        <v>0</v>
      </c>
      <c r="AA62" s="110">
        <f t="shared" si="11"/>
        <v>0</v>
      </c>
      <c r="AB62" s="110">
        <f t="shared" si="16"/>
        <v>0</v>
      </c>
      <c r="AC62" s="371" t="s">
        <v>163</v>
      </c>
      <c r="AD62" s="371" t="s">
        <v>148</v>
      </c>
      <c r="AE62" s="371" t="s">
        <v>149</v>
      </c>
      <c r="AF62" s="47"/>
    </row>
    <row r="63" spans="1:32" hidden="1" x14ac:dyDescent="0.2">
      <c r="A63" s="14" t="str">
        <f t="shared" si="8"/>
        <v/>
      </c>
      <c r="B63" s="26" t="s">
        <v>626</v>
      </c>
      <c r="C63" s="315"/>
      <c r="D63" s="244"/>
      <c r="E63" s="26">
        <v>10</v>
      </c>
      <c r="F63" s="252" t="s">
        <v>86</v>
      </c>
      <c r="G63" s="292" t="s">
        <v>582</v>
      </c>
      <c r="H63" s="15" t="s">
        <v>66</v>
      </c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7">
        <f t="shared" si="15"/>
        <v>0</v>
      </c>
      <c r="T63" s="7" t="s">
        <v>493</v>
      </c>
      <c r="U63" s="66">
        <f>1.45*AF$2</f>
        <v>1.45</v>
      </c>
      <c r="V63" s="31">
        <f t="shared" si="10"/>
        <v>0</v>
      </c>
      <c r="W63" s="35">
        <f>Rate!D$9</f>
        <v>38</v>
      </c>
      <c r="X63" s="110">
        <f t="shared" si="0"/>
        <v>0</v>
      </c>
      <c r="Y63" s="110">
        <f t="shared" si="1"/>
        <v>0</v>
      </c>
      <c r="Z63" s="110">
        <f t="shared" si="2"/>
        <v>0</v>
      </c>
      <c r="AA63" s="110">
        <f t="shared" si="11"/>
        <v>0</v>
      </c>
      <c r="AB63" s="110">
        <f t="shared" si="16"/>
        <v>0</v>
      </c>
      <c r="AC63" s="371" t="s">
        <v>163</v>
      </c>
      <c r="AD63" s="371" t="s">
        <v>148</v>
      </c>
      <c r="AE63" s="371" t="s">
        <v>149</v>
      </c>
      <c r="AF63" s="47"/>
    </row>
    <row r="64" spans="1:32" hidden="1" x14ac:dyDescent="0.2">
      <c r="A64" s="14" t="str">
        <f t="shared" si="8"/>
        <v/>
      </c>
      <c r="B64" s="26" t="s">
        <v>626</v>
      </c>
      <c r="C64" s="315"/>
      <c r="D64" s="244"/>
      <c r="E64" s="26">
        <v>12</v>
      </c>
      <c r="F64" s="252" t="s">
        <v>87</v>
      </c>
      <c r="G64" s="292" t="s">
        <v>583</v>
      </c>
      <c r="H64" s="15" t="s">
        <v>66</v>
      </c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7">
        <f t="shared" si="15"/>
        <v>0</v>
      </c>
      <c r="T64" s="7" t="s">
        <v>493</v>
      </c>
      <c r="U64" s="66">
        <f>1.71*AF$2</f>
        <v>1.71</v>
      </c>
      <c r="V64" s="31">
        <f t="shared" si="10"/>
        <v>0</v>
      </c>
      <c r="W64" s="35">
        <f>Rate!D$9</f>
        <v>38</v>
      </c>
      <c r="X64" s="110">
        <f t="shared" si="0"/>
        <v>0</v>
      </c>
      <c r="Y64" s="110">
        <f t="shared" si="1"/>
        <v>0</v>
      </c>
      <c r="Z64" s="110">
        <f t="shared" si="2"/>
        <v>0</v>
      </c>
      <c r="AA64" s="110">
        <f t="shared" si="11"/>
        <v>0</v>
      </c>
      <c r="AB64" s="110">
        <f t="shared" si="16"/>
        <v>0</v>
      </c>
      <c r="AC64" s="371" t="s">
        <v>163</v>
      </c>
      <c r="AD64" s="371" t="s">
        <v>148</v>
      </c>
      <c r="AE64" s="371" t="s">
        <v>149</v>
      </c>
      <c r="AF64" s="47"/>
    </row>
    <row r="65" spans="1:32" hidden="1" x14ac:dyDescent="0.2">
      <c r="A65" s="14" t="str">
        <f t="shared" si="8"/>
        <v/>
      </c>
      <c r="B65" s="26" t="s">
        <v>626</v>
      </c>
      <c r="C65" s="315"/>
      <c r="D65" s="244"/>
      <c r="E65" s="26">
        <v>14</v>
      </c>
      <c r="F65" s="252" t="s">
        <v>87</v>
      </c>
      <c r="G65" s="292" t="s">
        <v>584</v>
      </c>
      <c r="H65" s="15" t="s">
        <v>66</v>
      </c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7">
        <f t="shared" si="15"/>
        <v>0</v>
      </c>
      <c r="T65" s="7" t="s">
        <v>493</v>
      </c>
      <c r="U65" s="66">
        <f>1.94*AF$2</f>
        <v>1.94</v>
      </c>
      <c r="V65" s="31">
        <f t="shared" si="10"/>
        <v>0</v>
      </c>
      <c r="W65" s="35">
        <f>Rate!D$9</f>
        <v>38</v>
      </c>
      <c r="X65" s="110">
        <f t="shared" si="0"/>
        <v>0</v>
      </c>
      <c r="Y65" s="110">
        <f t="shared" si="1"/>
        <v>0</v>
      </c>
      <c r="Z65" s="110">
        <f t="shared" si="2"/>
        <v>0</v>
      </c>
      <c r="AA65" s="110">
        <f t="shared" si="11"/>
        <v>0</v>
      </c>
      <c r="AB65" s="110">
        <f t="shared" si="16"/>
        <v>0</v>
      </c>
      <c r="AC65" s="371" t="s">
        <v>163</v>
      </c>
      <c r="AD65" s="371" t="s">
        <v>148</v>
      </c>
      <c r="AE65" s="371" t="s">
        <v>149</v>
      </c>
      <c r="AF65" s="47"/>
    </row>
    <row r="66" spans="1:32" hidden="1" x14ac:dyDescent="0.2">
      <c r="A66" s="14" t="str">
        <f t="shared" si="8"/>
        <v/>
      </c>
      <c r="B66" s="26" t="s">
        <v>626</v>
      </c>
      <c r="C66" s="315"/>
      <c r="D66" s="244"/>
      <c r="E66" s="26">
        <v>16</v>
      </c>
      <c r="F66" s="252" t="s">
        <v>87</v>
      </c>
      <c r="G66" s="292" t="s">
        <v>585</v>
      </c>
      <c r="H66" s="15" t="s">
        <v>66</v>
      </c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7">
        <f t="shared" si="15"/>
        <v>0</v>
      </c>
      <c r="T66" s="7" t="s">
        <v>493</v>
      </c>
      <c r="U66" s="66">
        <f>2.17*AF$2</f>
        <v>2.17</v>
      </c>
      <c r="V66" s="31">
        <f t="shared" si="10"/>
        <v>0</v>
      </c>
      <c r="W66" s="35">
        <f>Rate!D$9</f>
        <v>38</v>
      </c>
      <c r="X66" s="110">
        <f t="shared" ref="X66:X128" si="17">IF(H66="L",V66*W66,0)</f>
        <v>0</v>
      </c>
      <c r="Y66" s="110">
        <f t="shared" ref="Y66:Y128" si="18">IF(H66="M",S66*W66,0)</f>
        <v>0</v>
      </c>
      <c r="Z66" s="110">
        <f t="shared" ref="Z66:Z128" si="19">IF(H66="S",S66*W66,0)</f>
        <v>0</v>
      </c>
      <c r="AA66" s="110">
        <f t="shared" si="11"/>
        <v>0</v>
      </c>
      <c r="AB66" s="110">
        <f t="shared" si="16"/>
        <v>0</v>
      </c>
      <c r="AC66" s="371" t="s">
        <v>163</v>
      </c>
      <c r="AD66" s="371" t="s">
        <v>148</v>
      </c>
      <c r="AE66" s="371" t="s">
        <v>149</v>
      </c>
      <c r="AF66" s="47"/>
    </row>
    <row r="67" spans="1:32" hidden="1" x14ac:dyDescent="0.2">
      <c r="A67" s="14" t="str">
        <f t="shared" si="8"/>
        <v/>
      </c>
      <c r="B67" s="26" t="s">
        <v>626</v>
      </c>
      <c r="C67" s="315"/>
      <c r="D67" s="244"/>
      <c r="E67" s="26">
        <v>18</v>
      </c>
      <c r="F67" s="252" t="s">
        <v>88</v>
      </c>
      <c r="G67" s="292" t="s">
        <v>586</v>
      </c>
      <c r="H67" s="15" t="s">
        <v>66</v>
      </c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7">
        <f t="shared" si="15"/>
        <v>0</v>
      </c>
      <c r="T67" s="7" t="s">
        <v>493</v>
      </c>
      <c r="U67" s="66">
        <f>2.39*AF$2</f>
        <v>2.39</v>
      </c>
      <c r="V67" s="31">
        <f t="shared" ref="V67:V98" si="20">+S67*U67</f>
        <v>0</v>
      </c>
      <c r="W67" s="35">
        <f>Rate!D$9</f>
        <v>38</v>
      </c>
      <c r="X67" s="110">
        <f t="shared" si="17"/>
        <v>0</v>
      </c>
      <c r="Y67" s="110">
        <f t="shared" si="18"/>
        <v>0</v>
      </c>
      <c r="Z67" s="110">
        <f t="shared" si="19"/>
        <v>0</v>
      </c>
      <c r="AA67" s="110">
        <f t="shared" ref="AA67:AA84" si="21">IF(H67="E",B67*S67*W67,0)</f>
        <v>0</v>
      </c>
      <c r="AB67" s="110">
        <f t="shared" si="16"/>
        <v>0</v>
      </c>
      <c r="AC67" s="371" t="s">
        <v>163</v>
      </c>
      <c r="AD67" s="371" t="s">
        <v>148</v>
      </c>
      <c r="AE67" s="371" t="s">
        <v>149</v>
      </c>
      <c r="AF67" s="47"/>
    </row>
    <row r="68" spans="1:32" hidden="1" x14ac:dyDescent="0.2">
      <c r="A68" s="14" t="str">
        <f t="shared" si="8"/>
        <v/>
      </c>
      <c r="B68" s="26" t="s">
        <v>626</v>
      </c>
      <c r="C68" s="315"/>
      <c r="D68" s="244"/>
      <c r="E68" s="26">
        <v>20</v>
      </c>
      <c r="F68" s="252" t="s">
        <v>88</v>
      </c>
      <c r="G68" s="292" t="s">
        <v>587</v>
      </c>
      <c r="H68" s="15" t="s">
        <v>66</v>
      </c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7">
        <f t="shared" si="15"/>
        <v>0</v>
      </c>
      <c r="T68" s="7" t="s">
        <v>493</v>
      </c>
      <c r="U68" s="66">
        <f>2.6*AF$2</f>
        <v>2.6</v>
      </c>
      <c r="V68" s="31">
        <f t="shared" si="20"/>
        <v>0</v>
      </c>
      <c r="W68" s="35">
        <f>Rate!D$9</f>
        <v>38</v>
      </c>
      <c r="X68" s="110">
        <f t="shared" si="17"/>
        <v>0</v>
      </c>
      <c r="Y68" s="110">
        <f t="shared" si="18"/>
        <v>0</v>
      </c>
      <c r="Z68" s="110">
        <f t="shared" si="19"/>
        <v>0</v>
      </c>
      <c r="AA68" s="110">
        <f t="shared" si="21"/>
        <v>0</v>
      </c>
      <c r="AB68" s="110">
        <f t="shared" si="16"/>
        <v>0</v>
      </c>
      <c r="AC68" s="371" t="s">
        <v>163</v>
      </c>
      <c r="AD68" s="371" t="s">
        <v>148</v>
      </c>
      <c r="AE68" s="371" t="s">
        <v>149</v>
      </c>
      <c r="AF68" s="47"/>
    </row>
    <row r="69" spans="1:32" hidden="1" x14ac:dyDescent="0.2">
      <c r="A69" s="14" t="str">
        <f t="shared" si="8"/>
        <v/>
      </c>
      <c r="B69" s="26" t="s">
        <v>626</v>
      </c>
      <c r="C69" s="315"/>
      <c r="D69" s="244"/>
      <c r="E69" s="26">
        <v>24</v>
      </c>
      <c r="F69" s="252" t="s">
        <v>89</v>
      </c>
      <c r="G69" s="292" t="s">
        <v>588</v>
      </c>
      <c r="H69" s="15" t="s">
        <v>66</v>
      </c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7">
        <f t="shared" si="15"/>
        <v>0</v>
      </c>
      <c r="T69" s="7" t="s">
        <v>493</v>
      </c>
      <c r="U69" s="66">
        <f>3.04*AF$2</f>
        <v>3.04</v>
      </c>
      <c r="V69" s="31">
        <f t="shared" si="20"/>
        <v>0</v>
      </c>
      <c r="W69" s="35">
        <f>Rate!D$9</f>
        <v>38</v>
      </c>
      <c r="X69" s="110">
        <f t="shared" si="17"/>
        <v>0</v>
      </c>
      <c r="Y69" s="110">
        <f t="shared" si="18"/>
        <v>0</v>
      </c>
      <c r="Z69" s="110">
        <f t="shared" si="19"/>
        <v>0</v>
      </c>
      <c r="AA69" s="110">
        <f t="shared" si="21"/>
        <v>0</v>
      </c>
      <c r="AB69" s="110">
        <f t="shared" si="16"/>
        <v>0</v>
      </c>
      <c r="AC69" s="371" t="s">
        <v>163</v>
      </c>
      <c r="AD69" s="371" t="s">
        <v>148</v>
      </c>
      <c r="AE69" s="371" t="s">
        <v>149</v>
      </c>
      <c r="AF69" s="47"/>
    </row>
    <row r="70" spans="1:32" hidden="1" x14ac:dyDescent="0.2">
      <c r="A70" s="14" t="str">
        <f t="shared" si="8"/>
        <v/>
      </c>
      <c r="B70" s="26" t="s">
        <v>626</v>
      </c>
      <c r="C70" s="315"/>
      <c r="D70" s="244"/>
      <c r="E70" s="26">
        <v>28</v>
      </c>
      <c r="F70" s="252" t="s">
        <v>89</v>
      </c>
      <c r="G70" s="292" t="s">
        <v>589</v>
      </c>
      <c r="H70" s="15" t="s">
        <v>66</v>
      </c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7">
        <f t="shared" si="15"/>
        <v>0</v>
      </c>
      <c r="T70" s="7" t="s">
        <v>493</v>
      </c>
      <c r="U70" s="66">
        <f>3.48*AF$2</f>
        <v>3.48</v>
      </c>
      <c r="V70" s="31">
        <f t="shared" si="20"/>
        <v>0</v>
      </c>
      <c r="W70" s="35">
        <f>Rate!D$9</f>
        <v>38</v>
      </c>
      <c r="X70" s="110">
        <f t="shared" si="17"/>
        <v>0</v>
      </c>
      <c r="Y70" s="110">
        <f t="shared" si="18"/>
        <v>0</v>
      </c>
      <c r="Z70" s="110">
        <f t="shared" si="19"/>
        <v>0</v>
      </c>
      <c r="AA70" s="110">
        <f t="shared" si="21"/>
        <v>0</v>
      </c>
      <c r="AB70" s="110">
        <f t="shared" si="16"/>
        <v>0</v>
      </c>
      <c r="AC70" s="371" t="s">
        <v>163</v>
      </c>
      <c r="AD70" s="371" t="s">
        <v>148</v>
      </c>
      <c r="AE70" s="371" t="s">
        <v>149</v>
      </c>
      <c r="AF70" s="47"/>
    </row>
    <row r="71" spans="1:32" hidden="1" x14ac:dyDescent="0.2">
      <c r="A71" s="14" t="str">
        <f t="shared" si="8"/>
        <v/>
      </c>
      <c r="B71" s="26" t="s">
        <v>626</v>
      </c>
      <c r="C71" s="315"/>
      <c r="D71" s="244"/>
      <c r="E71" s="26">
        <v>30</v>
      </c>
      <c r="F71" s="252" t="s">
        <v>89</v>
      </c>
      <c r="G71" s="292" t="s">
        <v>590</v>
      </c>
      <c r="H71" s="15" t="s">
        <v>66</v>
      </c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7">
        <f t="shared" si="15"/>
        <v>0</v>
      </c>
      <c r="T71" s="7" t="s">
        <v>493</v>
      </c>
      <c r="U71" s="66">
        <f>3.7*AF$2</f>
        <v>3.7</v>
      </c>
      <c r="V71" s="31">
        <f t="shared" si="20"/>
        <v>0</v>
      </c>
      <c r="W71" s="35">
        <f>Rate!D$9</f>
        <v>38</v>
      </c>
      <c r="X71" s="110">
        <f t="shared" si="17"/>
        <v>0</v>
      </c>
      <c r="Y71" s="110">
        <f t="shared" si="18"/>
        <v>0</v>
      </c>
      <c r="Z71" s="110">
        <f t="shared" si="19"/>
        <v>0</v>
      </c>
      <c r="AA71" s="110">
        <f t="shared" si="21"/>
        <v>0</v>
      </c>
      <c r="AB71" s="110">
        <f t="shared" si="16"/>
        <v>0</v>
      </c>
      <c r="AC71" s="371" t="s">
        <v>163</v>
      </c>
      <c r="AD71" s="371" t="s">
        <v>148</v>
      </c>
      <c r="AE71" s="371" t="s">
        <v>149</v>
      </c>
      <c r="AF71" s="47"/>
    </row>
    <row r="72" spans="1:32" hidden="1" x14ac:dyDescent="0.2">
      <c r="A72" s="14" t="str">
        <f t="shared" si="8"/>
        <v/>
      </c>
      <c r="B72" s="26" t="s">
        <v>626</v>
      </c>
      <c r="C72" s="315"/>
      <c r="D72" s="244"/>
      <c r="E72" s="26">
        <v>36</v>
      </c>
      <c r="F72" s="252" t="s">
        <v>90</v>
      </c>
      <c r="G72" s="292" t="s">
        <v>591</v>
      </c>
      <c r="H72" s="15" t="s">
        <v>66</v>
      </c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7">
        <f t="shared" si="15"/>
        <v>0</v>
      </c>
      <c r="T72" s="7" t="s">
        <v>493</v>
      </c>
      <c r="U72" s="66">
        <f>4.36*AF$2</f>
        <v>4.3600000000000003</v>
      </c>
      <c r="V72" s="31">
        <f t="shared" si="20"/>
        <v>0</v>
      </c>
      <c r="W72" s="35">
        <f>Rate!D$9</f>
        <v>38</v>
      </c>
      <c r="X72" s="110">
        <f t="shared" si="17"/>
        <v>0</v>
      </c>
      <c r="Y72" s="110">
        <f t="shared" si="18"/>
        <v>0</v>
      </c>
      <c r="Z72" s="110">
        <f t="shared" si="19"/>
        <v>0</v>
      </c>
      <c r="AA72" s="110">
        <f t="shared" si="21"/>
        <v>0</v>
      </c>
      <c r="AB72" s="110">
        <f t="shared" si="16"/>
        <v>0</v>
      </c>
      <c r="AC72" s="371" t="s">
        <v>163</v>
      </c>
      <c r="AD72" s="371" t="s">
        <v>148</v>
      </c>
      <c r="AE72" s="371" t="s">
        <v>149</v>
      </c>
      <c r="AF72" s="47"/>
    </row>
    <row r="73" spans="1:32" hidden="1" x14ac:dyDescent="0.2">
      <c r="A73" s="14" t="str">
        <f t="shared" si="8"/>
        <v/>
      </c>
      <c r="B73" s="26" t="s">
        <v>626</v>
      </c>
      <c r="C73" s="315"/>
      <c r="D73" s="244"/>
      <c r="E73" s="26">
        <v>42</v>
      </c>
      <c r="F73" s="252" t="s">
        <v>90</v>
      </c>
      <c r="G73" s="292" t="s">
        <v>592</v>
      </c>
      <c r="H73" s="15" t="s">
        <v>66</v>
      </c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7">
        <f t="shared" si="15"/>
        <v>0</v>
      </c>
      <c r="T73" s="7" t="s">
        <v>493</v>
      </c>
      <c r="U73" s="66">
        <f>5.02*AF$2</f>
        <v>5.0199999999999996</v>
      </c>
      <c r="V73" s="31">
        <f t="shared" si="20"/>
        <v>0</v>
      </c>
      <c r="W73" s="35">
        <f>Rate!D$9</f>
        <v>38</v>
      </c>
      <c r="X73" s="110">
        <f t="shared" si="17"/>
        <v>0</v>
      </c>
      <c r="Y73" s="110">
        <f t="shared" si="18"/>
        <v>0</v>
      </c>
      <c r="Z73" s="110">
        <f t="shared" si="19"/>
        <v>0</v>
      </c>
      <c r="AA73" s="110">
        <f t="shared" si="21"/>
        <v>0</v>
      </c>
      <c r="AB73" s="110">
        <f t="shared" si="16"/>
        <v>0</v>
      </c>
      <c r="AC73" s="371" t="s">
        <v>163</v>
      </c>
      <c r="AD73" s="371" t="s">
        <v>148</v>
      </c>
      <c r="AE73" s="371" t="s">
        <v>149</v>
      </c>
      <c r="AF73" s="47"/>
    </row>
    <row r="74" spans="1:32" hidden="1" x14ac:dyDescent="0.2">
      <c r="A74" s="14" t="str">
        <f t="shared" si="8"/>
        <v/>
      </c>
      <c r="B74" s="26" t="s">
        <v>626</v>
      </c>
      <c r="C74" s="315"/>
      <c r="D74" s="244"/>
      <c r="E74" s="26">
        <v>48</v>
      </c>
      <c r="F74" s="252" t="s">
        <v>90</v>
      </c>
      <c r="G74" s="292" t="s">
        <v>593</v>
      </c>
      <c r="H74" s="15" t="s">
        <v>66</v>
      </c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7">
        <f t="shared" si="15"/>
        <v>0</v>
      </c>
      <c r="T74" s="7" t="s">
        <v>493</v>
      </c>
      <c r="U74" s="66">
        <f>5.68*AF$2</f>
        <v>5.68</v>
      </c>
      <c r="V74" s="31">
        <f t="shared" si="20"/>
        <v>0</v>
      </c>
      <c r="W74" s="35">
        <f>Rate!D$9</f>
        <v>38</v>
      </c>
      <c r="X74" s="110">
        <f t="shared" si="17"/>
        <v>0</v>
      </c>
      <c r="Y74" s="110">
        <f t="shared" si="18"/>
        <v>0</v>
      </c>
      <c r="Z74" s="110">
        <f t="shared" si="19"/>
        <v>0</v>
      </c>
      <c r="AA74" s="110">
        <f t="shared" si="21"/>
        <v>0</v>
      </c>
      <c r="AB74" s="110">
        <f t="shared" si="16"/>
        <v>0</v>
      </c>
      <c r="AC74" s="371" t="s">
        <v>163</v>
      </c>
      <c r="AD74" s="371" t="s">
        <v>148</v>
      </c>
      <c r="AE74" s="371" t="s">
        <v>149</v>
      </c>
      <c r="AF74" s="47"/>
    </row>
    <row r="75" spans="1:32" hidden="1" x14ac:dyDescent="0.2">
      <c r="A75" s="14" t="str">
        <f t="shared" si="8"/>
        <v/>
      </c>
      <c r="B75" s="21" t="s">
        <v>467</v>
      </c>
      <c r="C75" s="15"/>
      <c r="D75" s="242"/>
      <c r="E75" s="21">
        <v>0.5</v>
      </c>
      <c r="F75" s="85" t="s">
        <v>2</v>
      </c>
      <c r="G75" s="85"/>
      <c r="H75" s="15" t="s">
        <v>66</v>
      </c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7">
        <f t="shared" si="9"/>
        <v>0</v>
      </c>
      <c r="T75" s="7" t="s">
        <v>493</v>
      </c>
      <c r="U75" s="66">
        <f>0.6*AF$2</f>
        <v>0.6</v>
      </c>
      <c r="V75" s="31">
        <f t="shared" si="20"/>
        <v>0</v>
      </c>
      <c r="W75" s="35">
        <f>Rate!D$9</f>
        <v>38</v>
      </c>
      <c r="X75" s="110">
        <f t="shared" si="17"/>
        <v>0</v>
      </c>
      <c r="Y75" s="110">
        <f t="shared" si="18"/>
        <v>0</v>
      </c>
      <c r="Z75" s="110">
        <f t="shared" si="19"/>
        <v>0</v>
      </c>
      <c r="AA75" s="110">
        <f t="shared" si="21"/>
        <v>0</v>
      </c>
      <c r="AB75" s="110">
        <f t="shared" si="12"/>
        <v>0</v>
      </c>
      <c r="AC75" s="371" t="s">
        <v>163</v>
      </c>
      <c r="AD75" s="371" t="s">
        <v>148</v>
      </c>
      <c r="AE75" s="371" t="s">
        <v>149</v>
      </c>
      <c r="AF75" s="47"/>
    </row>
    <row r="76" spans="1:32" hidden="1" x14ac:dyDescent="0.2">
      <c r="A76" s="14" t="str">
        <f t="shared" si="8"/>
        <v/>
      </c>
      <c r="B76" s="21" t="s">
        <v>467</v>
      </c>
      <c r="C76" s="15"/>
      <c r="D76" s="242"/>
      <c r="E76" s="21">
        <v>0.75</v>
      </c>
      <c r="F76" s="85" t="s">
        <v>2</v>
      </c>
      <c r="G76" s="85"/>
      <c r="H76" s="15" t="s">
        <v>66</v>
      </c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7">
        <f t="shared" si="9"/>
        <v>0</v>
      </c>
      <c r="T76" s="7" t="s">
        <v>493</v>
      </c>
      <c r="U76" s="66">
        <f>0.6*AF$2</f>
        <v>0.6</v>
      </c>
      <c r="V76" s="31">
        <f t="shared" si="20"/>
        <v>0</v>
      </c>
      <c r="W76" s="35">
        <f>Rate!D$9</f>
        <v>38</v>
      </c>
      <c r="X76" s="110">
        <f t="shared" si="17"/>
        <v>0</v>
      </c>
      <c r="Y76" s="110">
        <f t="shared" si="18"/>
        <v>0</v>
      </c>
      <c r="Z76" s="110">
        <f t="shared" si="19"/>
        <v>0</v>
      </c>
      <c r="AA76" s="110">
        <f t="shared" si="21"/>
        <v>0</v>
      </c>
      <c r="AB76" s="110">
        <f t="shared" si="12"/>
        <v>0</v>
      </c>
      <c r="AC76" s="371" t="s">
        <v>163</v>
      </c>
      <c r="AD76" s="371" t="s">
        <v>148</v>
      </c>
      <c r="AE76" s="371" t="s">
        <v>149</v>
      </c>
      <c r="AF76" s="47"/>
    </row>
    <row r="77" spans="1:32" hidden="1" x14ac:dyDescent="0.2">
      <c r="A77" s="14" t="str">
        <f t="shared" si="8"/>
        <v/>
      </c>
      <c r="B77" s="21" t="s">
        <v>467</v>
      </c>
      <c r="C77" s="15"/>
      <c r="D77" s="242"/>
      <c r="E77" s="21">
        <v>1</v>
      </c>
      <c r="F77" s="85" t="s">
        <v>2</v>
      </c>
      <c r="G77" s="85"/>
      <c r="H77" s="15" t="s">
        <v>66</v>
      </c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7">
        <f t="shared" si="9"/>
        <v>0</v>
      </c>
      <c r="T77" s="7" t="s">
        <v>493</v>
      </c>
      <c r="U77" s="66">
        <f>0.7*AF$2</f>
        <v>0.7</v>
      </c>
      <c r="V77" s="31">
        <f t="shared" si="20"/>
        <v>0</v>
      </c>
      <c r="W77" s="35">
        <f>Rate!D$9</f>
        <v>38</v>
      </c>
      <c r="X77" s="110">
        <f t="shared" si="17"/>
        <v>0</v>
      </c>
      <c r="Y77" s="110">
        <f t="shared" si="18"/>
        <v>0</v>
      </c>
      <c r="Z77" s="110">
        <f t="shared" si="19"/>
        <v>0</v>
      </c>
      <c r="AA77" s="110">
        <f t="shared" si="21"/>
        <v>0</v>
      </c>
      <c r="AB77" s="110">
        <f t="shared" si="12"/>
        <v>0</v>
      </c>
      <c r="AC77" s="371" t="s">
        <v>163</v>
      </c>
      <c r="AD77" s="371" t="s">
        <v>148</v>
      </c>
      <c r="AE77" s="371" t="s">
        <v>149</v>
      </c>
      <c r="AF77" s="47"/>
    </row>
    <row r="78" spans="1:32" hidden="1" x14ac:dyDescent="0.2">
      <c r="A78" s="14" t="str">
        <f t="shared" si="8"/>
        <v/>
      </c>
      <c r="B78" s="21" t="s">
        <v>467</v>
      </c>
      <c r="C78" s="15"/>
      <c r="D78" s="242"/>
      <c r="E78" s="21">
        <v>1.5</v>
      </c>
      <c r="F78" s="85" t="s">
        <v>2</v>
      </c>
      <c r="G78" s="85"/>
      <c r="H78" s="15" t="s">
        <v>66</v>
      </c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7">
        <f t="shared" si="9"/>
        <v>0</v>
      </c>
      <c r="T78" s="7" t="s">
        <v>493</v>
      </c>
      <c r="U78" s="66">
        <f>0.9*AF$2</f>
        <v>0.9</v>
      </c>
      <c r="V78" s="31">
        <f t="shared" si="20"/>
        <v>0</v>
      </c>
      <c r="W78" s="35">
        <f>Rate!D$9</f>
        <v>38</v>
      </c>
      <c r="X78" s="110">
        <f t="shared" si="17"/>
        <v>0</v>
      </c>
      <c r="Y78" s="110">
        <f t="shared" si="18"/>
        <v>0</v>
      </c>
      <c r="Z78" s="110">
        <f t="shared" si="19"/>
        <v>0</v>
      </c>
      <c r="AA78" s="110">
        <f t="shared" si="21"/>
        <v>0</v>
      </c>
      <c r="AB78" s="110">
        <f t="shared" si="12"/>
        <v>0</v>
      </c>
      <c r="AC78" s="371" t="s">
        <v>163</v>
      </c>
      <c r="AD78" s="371" t="s">
        <v>148</v>
      </c>
      <c r="AE78" s="371" t="s">
        <v>149</v>
      </c>
      <c r="AF78" s="47"/>
    </row>
    <row r="79" spans="1:32" hidden="1" x14ac:dyDescent="0.2">
      <c r="A79" s="14" t="str">
        <f t="shared" si="8"/>
        <v/>
      </c>
      <c r="B79" s="21" t="s">
        <v>467</v>
      </c>
      <c r="C79" s="15"/>
      <c r="D79" s="242"/>
      <c r="E79" s="21">
        <v>2</v>
      </c>
      <c r="F79" s="85" t="s">
        <v>2</v>
      </c>
      <c r="G79" s="85"/>
      <c r="H79" s="15" t="s">
        <v>66</v>
      </c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7">
        <f t="shared" si="9"/>
        <v>0</v>
      </c>
      <c r="T79" s="7" t="s">
        <v>493</v>
      </c>
      <c r="U79" s="66">
        <f>1*AF$2</f>
        <v>1</v>
      </c>
      <c r="V79" s="31">
        <f t="shared" si="20"/>
        <v>0</v>
      </c>
      <c r="W79" s="35">
        <f>Rate!D$9</f>
        <v>38</v>
      </c>
      <c r="X79" s="110">
        <f t="shared" si="17"/>
        <v>0</v>
      </c>
      <c r="Y79" s="110">
        <f t="shared" si="18"/>
        <v>0</v>
      </c>
      <c r="Z79" s="110">
        <f t="shared" si="19"/>
        <v>0</v>
      </c>
      <c r="AA79" s="110">
        <f t="shared" si="21"/>
        <v>0</v>
      </c>
      <c r="AB79" s="110">
        <f t="shared" si="12"/>
        <v>0</v>
      </c>
      <c r="AC79" s="371" t="s">
        <v>163</v>
      </c>
      <c r="AD79" s="371" t="s">
        <v>148</v>
      </c>
      <c r="AE79" s="371" t="s">
        <v>149</v>
      </c>
      <c r="AF79" s="47"/>
    </row>
    <row r="80" spans="1:32" hidden="1" x14ac:dyDescent="0.2">
      <c r="A80" s="14" t="str">
        <f t="shared" si="8"/>
        <v/>
      </c>
      <c r="B80" s="21" t="s">
        <v>467</v>
      </c>
      <c r="C80" s="15"/>
      <c r="D80" s="242"/>
      <c r="E80" s="21">
        <v>0.5</v>
      </c>
      <c r="F80" s="85" t="s">
        <v>3</v>
      </c>
      <c r="G80" s="85"/>
      <c r="H80" s="15" t="s">
        <v>66</v>
      </c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7">
        <f t="shared" si="9"/>
        <v>0</v>
      </c>
      <c r="T80" s="7" t="s">
        <v>493</v>
      </c>
      <c r="U80" s="66">
        <f>0.6*AF$2</f>
        <v>0.6</v>
      </c>
      <c r="V80" s="31">
        <f t="shared" si="20"/>
        <v>0</v>
      </c>
      <c r="W80" s="35">
        <f>Rate!D$9</f>
        <v>38</v>
      </c>
      <c r="X80" s="110">
        <f t="shared" si="17"/>
        <v>0</v>
      </c>
      <c r="Y80" s="110">
        <f t="shared" si="18"/>
        <v>0</v>
      </c>
      <c r="Z80" s="110">
        <f t="shared" si="19"/>
        <v>0</v>
      </c>
      <c r="AA80" s="110">
        <f t="shared" si="21"/>
        <v>0</v>
      </c>
      <c r="AB80" s="110">
        <f t="shared" si="12"/>
        <v>0</v>
      </c>
      <c r="AC80" s="371" t="s">
        <v>163</v>
      </c>
      <c r="AD80" s="371" t="s">
        <v>148</v>
      </c>
      <c r="AE80" s="371" t="s">
        <v>149</v>
      </c>
      <c r="AF80" s="47"/>
    </row>
    <row r="81" spans="1:32" hidden="1" x14ac:dyDescent="0.2">
      <c r="A81" s="14" t="str">
        <f t="shared" si="8"/>
        <v/>
      </c>
      <c r="B81" s="21" t="s">
        <v>467</v>
      </c>
      <c r="C81" s="15"/>
      <c r="D81" s="242"/>
      <c r="E81" s="21">
        <v>0.75</v>
      </c>
      <c r="F81" s="85" t="s">
        <v>3</v>
      </c>
      <c r="G81" s="85"/>
      <c r="H81" s="15" t="s">
        <v>66</v>
      </c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7">
        <f t="shared" si="9"/>
        <v>0</v>
      </c>
      <c r="T81" s="7" t="s">
        <v>493</v>
      </c>
      <c r="U81" s="66">
        <f>0.7*AF$2</f>
        <v>0.7</v>
      </c>
      <c r="V81" s="31">
        <f t="shared" si="20"/>
        <v>0</v>
      </c>
      <c r="W81" s="35">
        <f>Rate!D$9</f>
        <v>38</v>
      </c>
      <c r="X81" s="110">
        <f t="shared" si="17"/>
        <v>0</v>
      </c>
      <c r="Y81" s="110">
        <f t="shared" si="18"/>
        <v>0</v>
      </c>
      <c r="Z81" s="110">
        <f t="shared" si="19"/>
        <v>0</v>
      </c>
      <c r="AA81" s="110">
        <f t="shared" si="21"/>
        <v>0</v>
      </c>
      <c r="AB81" s="110">
        <f t="shared" si="12"/>
        <v>0</v>
      </c>
      <c r="AC81" s="371" t="s">
        <v>163</v>
      </c>
      <c r="AD81" s="371" t="s">
        <v>148</v>
      </c>
      <c r="AE81" s="371" t="s">
        <v>149</v>
      </c>
      <c r="AF81" s="47"/>
    </row>
    <row r="82" spans="1:32" hidden="1" x14ac:dyDescent="0.2">
      <c r="A82" s="14" t="str">
        <f t="shared" ref="A82:A100" si="22">+IF(AB82&lt;&gt;0,"X","")</f>
        <v/>
      </c>
      <c r="B82" s="21" t="s">
        <v>467</v>
      </c>
      <c r="C82" s="15"/>
      <c r="D82" s="242"/>
      <c r="E82" s="21">
        <v>1</v>
      </c>
      <c r="F82" s="85" t="s">
        <v>3</v>
      </c>
      <c r="G82" s="85"/>
      <c r="H82" s="15" t="s">
        <v>66</v>
      </c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7">
        <f t="shared" si="9"/>
        <v>0</v>
      </c>
      <c r="T82" s="7" t="s">
        <v>493</v>
      </c>
      <c r="U82" s="66">
        <f>0.8*AF$2</f>
        <v>0.8</v>
      </c>
      <c r="V82" s="31">
        <f t="shared" si="20"/>
        <v>0</v>
      </c>
      <c r="W82" s="35">
        <f>Rate!D$9</f>
        <v>38</v>
      </c>
      <c r="X82" s="110">
        <f t="shared" si="17"/>
        <v>0</v>
      </c>
      <c r="Y82" s="110">
        <f t="shared" si="18"/>
        <v>0</v>
      </c>
      <c r="Z82" s="110">
        <f t="shared" si="19"/>
        <v>0</v>
      </c>
      <c r="AA82" s="110">
        <f t="shared" si="21"/>
        <v>0</v>
      </c>
      <c r="AB82" s="110">
        <f t="shared" si="12"/>
        <v>0</v>
      </c>
      <c r="AC82" s="371" t="s">
        <v>163</v>
      </c>
      <c r="AD82" s="371" t="s">
        <v>148</v>
      </c>
      <c r="AE82" s="371" t="s">
        <v>149</v>
      </c>
      <c r="AF82" s="47"/>
    </row>
    <row r="83" spans="1:32" hidden="1" x14ac:dyDescent="0.2">
      <c r="A83" s="14" t="str">
        <f t="shared" si="22"/>
        <v/>
      </c>
      <c r="B83" s="21" t="s">
        <v>467</v>
      </c>
      <c r="C83" s="15"/>
      <c r="D83" s="242"/>
      <c r="E83" s="21">
        <v>1.5</v>
      </c>
      <c r="F83" s="85" t="s">
        <v>3</v>
      </c>
      <c r="G83" s="85"/>
      <c r="H83" s="15" t="s">
        <v>66</v>
      </c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7">
        <f t="shared" si="9"/>
        <v>0</v>
      </c>
      <c r="T83" s="7" t="s">
        <v>493</v>
      </c>
      <c r="U83" s="66">
        <f>1.2*AF$2</f>
        <v>1.2</v>
      </c>
      <c r="V83" s="31">
        <f t="shared" si="20"/>
        <v>0</v>
      </c>
      <c r="W83" s="35">
        <f>Rate!D$9</f>
        <v>38</v>
      </c>
      <c r="X83" s="110">
        <f t="shared" si="17"/>
        <v>0</v>
      </c>
      <c r="Y83" s="110">
        <f t="shared" si="18"/>
        <v>0</v>
      </c>
      <c r="Z83" s="110">
        <f t="shared" si="19"/>
        <v>0</v>
      </c>
      <c r="AA83" s="110">
        <f t="shared" si="21"/>
        <v>0</v>
      </c>
      <c r="AB83" s="110">
        <f t="shared" si="12"/>
        <v>0</v>
      </c>
      <c r="AC83" s="371" t="s">
        <v>163</v>
      </c>
      <c r="AD83" s="371" t="s">
        <v>148</v>
      </c>
      <c r="AE83" s="371" t="s">
        <v>149</v>
      </c>
      <c r="AF83" s="47"/>
    </row>
    <row r="84" spans="1:32" hidden="1" x14ac:dyDescent="0.2">
      <c r="A84" s="14" t="str">
        <f t="shared" si="22"/>
        <v/>
      </c>
      <c r="B84" s="21" t="s">
        <v>467</v>
      </c>
      <c r="C84" s="15"/>
      <c r="D84" s="242"/>
      <c r="E84" s="21">
        <v>2</v>
      </c>
      <c r="F84" s="85" t="s">
        <v>3</v>
      </c>
      <c r="G84" s="85"/>
      <c r="H84" s="15" t="s">
        <v>66</v>
      </c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7">
        <f t="shared" si="9"/>
        <v>0</v>
      </c>
      <c r="T84" s="7" t="s">
        <v>493</v>
      </c>
      <c r="U84" s="66">
        <f>1.5*AF$2</f>
        <v>1.5</v>
      </c>
      <c r="V84" s="31">
        <f t="shared" si="20"/>
        <v>0</v>
      </c>
      <c r="W84" s="35">
        <f>Rate!D$9</f>
        <v>38</v>
      </c>
      <c r="X84" s="110">
        <f t="shared" si="17"/>
        <v>0</v>
      </c>
      <c r="Y84" s="110">
        <f t="shared" si="18"/>
        <v>0</v>
      </c>
      <c r="Z84" s="110">
        <f t="shared" si="19"/>
        <v>0</v>
      </c>
      <c r="AA84" s="110">
        <f t="shared" si="21"/>
        <v>0</v>
      </c>
      <c r="AB84" s="110">
        <f t="shared" si="12"/>
        <v>0</v>
      </c>
      <c r="AC84" s="371" t="s">
        <v>163</v>
      </c>
      <c r="AD84" s="371" t="s">
        <v>148</v>
      </c>
      <c r="AE84" s="371" t="s">
        <v>149</v>
      </c>
      <c r="AF84" s="47"/>
    </row>
    <row r="85" spans="1:32" hidden="1" x14ac:dyDescent="0.2">
      <c r="A85" s="14" t="str">
        <f t="shared" si="22"/>
        <v/>
      </c>
      <c r="B85" s="21" t="s">
        <v>468</v>
      </c>
      <c r="C85" s="15"/>
      <c r="D85" s="242"/>
      <c r="E85" s="21">
        <v>0.5</v>
      </c>
      <c r="F85" s="85" t="s">
        <v>79</v>
      </c>
      <c r="G85" s="85"/>
      <c r="H85" s="15" t="s">
        <v>66</v>
      </c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7">
        <f t="shared" si="9"/>
        <v>0</v>
      </c>
      <c r="T85" s="7" t="s">
        <v>493</v>
      </c>
      <c r="U85" s="66">
        <f>2*AF$2</f>
        <v>2</v>
      </c>
      <c r="V85" s="31">
        <f t="shared" si="20"/>
        <v>0</v>
      </c>
      <c r="W85" s="35">
        <f>Rate!D$9</f>
        <v>38</v>
      </c>
      <c r="X85" s="110">
        <f t="shared" si="17"/>
        <v>0</v>
      </c>
      <c r="Y85" s="110">
        <f t="shared" si="18"/>
        <v>0</v>
      </c>
      <c r="Z85" s="110">
        <f t="shared" si="19"/>
        <v>0</v>
      </c>
      <c r="AA85" s="110">
        <f t="shared" ref="AA85:AA101" si="23">IF(H85="E",G85*S85*W85,0)</f>
        <v>0</v>
      </c>
      <c r="AB85" s="110">
        <f t="shared" si="12"/>
        <v>0</v>
      </c>
      <c r="AC85" s="371" t="s">
        <v>163</v>
      </c>
      <c r="AD85" s="371" t="s">
        <v>148</v>
      </c>
      <c r="AE85" s="371" t="s">
        <v>149</v>
      </c>
      <c r="AF85" s="47"/>
    </row>
    <row r="86" spans="1:32" hidden="1" x14ac:dyDescent="0.2">
      <c r="A86" s="14" t="str">
        <f t="shared" si="22"/>
        <v/>
      </c>
      <c r="B86" s="21" t="s">
        <v>468</v>
      </c>
      <c r="C86" s="15"/>
      <c r="D86" s="242"/>
      <c r="E86" s="21">
        <v>0.75</v>
      </c>
      <c r="F86" s="85" t="s">
        <v>79</v>
      </c>
      <c r="G86" s="85"/>
      <c r="H86" s="15" t="s">
        <v>66</v>
      </c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7">
        <f t="shared" si="9"/>
        <v>0</v>
      </c>
      <c r="T86" s="7" t="s">
        <v>493</v>
      </c>
      <c r="U86" s="66">
        <f>2.2*AF$2</f>
        <v>2.2000000000000002</v>
      </c>
      <c r="V86" s="31">
        <f t="shared" si="20"/>
        <v>0</v>
      </c>
      <c r="W86" s="35">
        <f>Rate!D$9</f>
        <v>38</v>
      </c>
      <c r="X86" s="110">
        <f t="shared" si="17"/>
        <v>0</v>
      </c>
      <c r="Y86" s="110">
        <f t="shared" si="18"/>
        <v>0</v>
      </c>
      <c r="Z86" s="110">
        <f t="shared" si="19"/>
        <v>0</v>
      </c>
      <c r="AA86" s="110">
        <f t="shared" si="23"/>
        <v>0</v>
      </c>
      <c r="AB86" s="110">
        <f t="shared" si="12"/>
        <v>0</v>
      </c>
      <c r="AC86" s="371" t="s">
        <v>163</v>
      </c>
      <c r="AD86" s="371" t="s">
        <v>148</v>
      </c>
      <c r="AE86" s="371" t="s">
        <v>149</v>
      </c>
      <c r="AF86" s="47"/>
    </row>
    <row r="87" spans="1:32" hidden="1" x14ac:dyDescent="0.2">
      <c r="A87" s="14" t="str">
        <f t="shared" si="22"/>
        <v/>
      </c>
      <c r="B87" s="21" t="s">
        <v>468</v>
      </c>
      <c r="C87" s="15"/>
      <c r="D87" s="242"/>
      <c r="E87" s="21">
        <v>1</v>
      </c>
      <c r="F87" s="85" t="s">
        <v>79</v>
      </c>
      <c r="G87" s="85"/>
      <c r="H87" s="15" t="s">
        <v>66</v>
      </c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7">
        <f t="shared" si="9"/>
        <v>0</v>
      </c>
      <c r="T87" s="7" t="s">
        <v>493</v>
      </c>
      <c r="U87" s="66">
        <f>2.5*AF$2</f>
        <v>2.5</v>
      </c>
      <c r="V87" s="31">
        <f t="shared" si="20"/>
        <v>0</v>
      </c>
      <c r="W87" s="35">
        <f>Rate!D$9</f>
        <v>38</v>
      </c>
      <c r="X87" s="110">
        <f t="shared" si="17"/>
        <v>0</v>
      </c>
      <c r="Y87" s="110">
        <f t="shared" si="18"/>
        <v>0</v>
      </c>
      <c r="Z87" s="110">
        <f t="shared" si="19"/>
        <v>0</v>
      </c>
      <c r="AA87" s="110">
        <f t="shared" si="23"/>
        <v>0</v>
      </c>
      <c r="AB87" s="110">
        <f t="shared" si="12"/>
        <v>0</v>
      </c>
      <c r="AC87" s="371" t="s">
        <v>163</v>
      </c>
      <c r="AD87" s="371" t="s">
        <v>148</v>
      </c>
      <c r="AE87" s="371" t="s">
        <v>149</v>
      </c>
      <c r="AF87" s="47"/>
    </row>
    <row r="88" spans="1:32" hidden="1" x14ac:dyDescent="0.2">
      <c r="A88" s="14" t="str">
        <f t="shared" si="22"/>
        <v/>
      </c>
      <c r="B88" s="21" t="s">
        <v>468</v>
      </c>
      <c r="C88" s="15"/>
      <c r="D88" s="242"/>
      <c r="E88" s="21">
        <v>1.5</v>
      </c>
      <c r="F88" s="85" t="s">
        <v>79</v>
      </c>
      <c r="G88" s="85"/>
      <c r="H88" s="15" t="s">
        <v>66</v>
      </c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7">
        <f t="shared" si="9"/>
        <v>0</v>
      </c>
      <c r="T88" s="7" t="s">
        <v>493</v>
      </c>
      <c r="U88" s="66">
        <f>3.7*AF$2</f>
        <v>3.7</v>
      </c>
      <c r="V88" s="31">
        <f t="shared" si="20"/>
        <v>0</v>
      </c>
      <c r="W88" s="35">
        <f>Rate!D$9</f>
        <v>38</v>
      </c>
      <c r="X88" s="110">
        <f t="shared" si="17"/>
        <v>0</v>
      </c>
      <c r="Y88" s="110">
        <f t="shared" si="18"/>
        <v>0</v>
      </c>
      <c r="Z88" s="110">
        <f t="shared" si="19"/>
        <v>0</v>
      </c>
      <c r="AA88" s="110">
        <f t="shared" si="23"/>
        <v>0</v>
      </c>
      <c r="AB88" s="110">
        <f t="shared" si="12"/>
        <v>0</v>
      </c>
      <c r="AC88" s="371" t="s">
        <v>163</v>
      </c>
      <c r="AD88" s="371" t="s">
        <v>148</v>
      </c>
      <c r="AE88" s="371" t="s">
        <v>149</v>
      </c>
      <c r="AF88" s="47"/>
    </row>
    <row r="89" spans="1:32" hidden="1" x14ac:dyDescent="0.2">
      <c r="A89" s="14" t="str">
        <f t="shared" si="22"/>
        <v/>
      </c>
      <c r="B89" s="21" t="s">
        <v>468</v>
      </c>
      <c r="C89" s="15"/>
      <c r="D89" s="242"/>
      <c r="E89" s="21">
        <v>2</v>
      </c>
      <c r="F89" s="85" t="s">
        <v>79</v>
      </c>
      <c r="G89" s="85"/>
      <c r="H89" s="15" t="s">
        <v>66</v>
      </c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7">
        <f t="shared" si="9"/>
        <v>0</v>
      </c>
      <c r="T89" s="7" t="s">
        <v>493</v>
      </c>
      <c r="U89" s="66">
        <f>4.8*AF$2</f>
        <v>4.8</v>
      </c>
      <c r="V89" s="31">
        <f t="shared" si="20"/>
        <v>0</v>
      </c>
      <c r="W89" s="35">
        <f>Rate!D$9</f>
        <v>38</v>
      </c>
      <c r="X89" s="110">
        <f t="shared" si="17"/>
        <v>0</v>
      </c>
      <c r="Y89" s="110">
        <f t="shared" si="18"/>
        <v>0</v>
      </c>
      <c r="Z89" s="110">
        <f t="shared" si="19"/>
        <v>0</v>
      </c>
      <c r="AA89" s="110">
        <f t="shared" si="23"/>
        <v>0</v>
      </c>
      <c r="AB89" s="110">
        <f t="shared" si="12"/>
        <v>0</v>
      </c>
      <c r="AC89" s="371" t="s">
        <v>163</v>
      </c>
      <c r="AD89" s="371" t="s">
        <v>148</v>
      </c>
      <c r="AE89" s="371" t="s">
        <v>149</v>
      </c>
      <c r="AF89" s="47"/>
    </row>
    <row r="90" spans="1:32" hidden="1" x14ac:dyDescent="0.2">
      <c r="A90" s="14" t="str">
        <f t="shared" si="22"/>
        <v/>
      </c>
      <c r="B90" s="21" t="s">
        <v>468</v>
      </c>
      <c r="C90" s="15"/>
      <c r="D90" s="242"/>
      <c r="E90" s="21">
        <v>3</v>
      </c>
      <c r="F90" s="85" t="s">
        <v>79</v>
      </c>
      <c r="G90" s="85"/>
      <c r="H90" s="15" t="s">
        <v>66</v>
      </c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7">
        <f t="shared" si="9"/>
        <v>0</v>
      </c>
      <c r="T90" s="7" t="s">
        <v>493</v>
      </c>
      <c r="U90" s="66">
        <f>6.8*AF$2</f>
        <v>6.8</v>
      </c>
      <c r="V90" s="31">
        <f t="shared" si="20"/>
        <v>0</v>
      </c>
      <c r="W90" s="35">
        <f>Rate!D$9</f>
        <v>38</v>
      </c>
      <c r="X90" s="110">
        <f t="shared" si="17"/>
        <v>0</v>
      </c>
      <c r="Y90" s="110">
        <f t="shared" si="18"/>
        <v>0</v>
      </c>
      <c r="Z90" s="110">
        <f t="shared" si="19"/>
        <v>0</v>
      </c>
      <c r="AA90" s="110">
        <f t="shared" si="23"/>
        <v>0</v>
      </c>
      <c r="AB90" s="110">
        <f t="shared" si="12"/>
        <v>0</v>
      </c>
      <c r="AC90" s="371" t="s">
        <v>163</v>
      </c>
      <c r="AD90" s="371" t="s">
        <v>148</v>
      </c>
      <c r="AE90" s="371" t="s">
        <v>149</v>
      </c>
      <c r="AF90" s="47"/>
    </row>
    <row r="91" spans="1:32" hidden="1" x14ac:dyDescent="0.2">
      <c r="A91" s="14" t="str">
        <f t="shared" si="22"/>
        <v/>
      </c>
      <c r="B91" s="21" t="s">
        <v>468</v>
      </c>
      <c r="C91" s="15"/>
      <c r="D91" s="242"/>
      <c r="E91" s="21">
        <v>4</v>
      </c>
      <c r="F91" s="85" t="s">
        <v>79</v>
      </c>
      <c r="G91" s="85"/>
      <c r="H91" s="15" t="s">
        <v>66</v>
      </c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7">
        <f t="shared" si="9"/>
        <v>0</v>
      </c>
      <c r="T91" s="7" t="s">
        <v>493</v>
      </c>
      <c r="U91" s="66">
        <f>8.5*AF$2</f>
        <v>8.5</v>
      </c>
      <c r="V91" s="31">
        <f t="shared" si="20"/>
        <v>0</v>
      </c>
      <c r="W91" s="35">
        <f>Rate!D$9</f>
        <v>38</v>
      </c>
      <c r="X91" s="110">
        <f t="shared" si="17"/>
        <v>0</v>
      </c>
      <c r="Y91" s="110">
        <f t="shared" si="18"/>
        <v>0</v>
      </c>
      <c r="Z91" s="110">
        <f t="shared" si="19"/>
        <v>0</v>
      </c>
      <c r="AA91" s="110">
        <f t="shared" si="23"/>
        <v>0</v>
      </c>
      <c r="AB91" s="110">
        <f t="shared" si="12"/>
        <v>0</v>
      </c>
      <c r="AC91" s="371" t="s">
        <v>163</v>
      </c>
      <c r="AD91" s="371" t="s">
        <v>148</v>
      </c>
      <c r="AE91" s="371" t="s">
        <v>149</v>
      </c>
      <c r="AF91" s="47"/>
    </row>
    <row r="92" spans="1:32" hidden="1" x14ac:dyDescent="0.2">
      <c r="A92" s="14" t="str">
        <f t="shared" si="22"/>
        <v/>
      </c>
      <c r="B92" s="21" t="s">
        <v>468</v>
      </c>
      <c r="C92" s="15"/>
      <c r="D92" s="242"/>
      <c r="E92" s="21">
        <v>6</v>
      </c>
      <c r="F92" s="85" t="s">
        <v>79</v>
      </c>
      <c r="G92" s="85"/>
      <c r="H92" s="15" t="s">
        <v>66</v>
      </c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7">
        <f t="shared" si="9"/>
        <v>0</v>
      </c>
      <c r="T92" s="7" t="s">
        <v>493</v>
      </c>
      <c r="U92" s="66">
        <f>9.9*AF$2</f>
        <v>9.9</v>
      </c>
      <c r="V92" s="31">
        <f t="shared" si="20"/>
        <v>0</v>
      </c>
      <c r="W92" s="35">
        <f>Rate!D$9</f>
        <v>38</v>
      </c>
      <c r="X92" s="110">
        <f t="shared" si="17"/>
        <v>0</v>
      </c>
      <c r="Y92" s="110">
        <f t="shared" si="18"/>
        <v>0</v>
      </c>
      <c r="Z92" s="110">
        <f t="shared" si="19"/>
        <v>0</v>
      </c>
      <c r="AA92" s="110">
        <f t="shared" si="23"/>
        <v>0</v>
      </c>
      <c r="AB92" s="110">
        <f t="shared" si="12"/>
        <v>0</v>
      </c>
      <c r="AC92" s="371" t="s">
        <v>163</v>
      </c>
      <c r="AD92" s="371" t="s">
        <v>148</v>
      </c>
      <c r="AE92" s="371" t="s">
        <v>149</v>
      </c>
      <c r="AF92" s="47"/>
    </row>
    <row r="93" spans="1:32" hidden="1" x14ac:dyDescent="0.2">
      <c r="A93" s="14" t="str">
        <f t="shared" si="22"/>
        <v/>
      </c>
      <c r="B93" s="21" t="s">
        <v>468</v>
      </c>
      <c r="C93" s="15"/>
      <c r="D93" s="242"/>
      <c r="E93" s="21">
        <v>8</v>
      </c>
      <c r="F93" s="85" t="s">
        <v>79</v>
      </c>
      <c r="G93" s="85"/>
      <c r="H93" s="15" t="s">
        <v>66</v>
      </c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7">
        <f t="shared" si="9"/>
        <v>0</v>
      </c>
      <c r="T93" s="7" t="s">
        <v>493</v>
      </c>
      <c r="U93" s="66">
        <f>10.6*AF$2</f>
        <v>10.6</v>
      </c>
      <c r="V93" s="31">
        <f t="shared" si="20"/>
        <v>0</v>
      </c>
      <c r="W93" s="35">
        <f>Rate!D$9</f>
        <v>38</v>
      </c>
      <c r="X93" s="110">
        <f t="shared" si="17"/>
        <v>0</v>
      </c>
      <c r="Y93" s="110">
        <f t="shared" si="18"/>
        <v>0</v>
      </c>
      <c r="Z93" s="110">
        <f t="shared" si="19"/>
        <v>0</v>
      </c>
      <c r="AA93" s="110">
        <f t="shared" si="23"/>
        <v>0</v>
      </c>
      <c r="AB93" s="110">
        <f t="shared" si="12"/>
        <v>0</v>
      </c>
      <c r="AC93" s="371" t="s">
        <v>163</v>
      </c>
      <c r="AD93" s="371" t="s">
        <v>148</v>
      </c>
      <c r="AE93" s="371" t="s">
        <v>149</v>
      </c>
      <c r="AF93" s="47"/>
    </row>
    <row r="94" spans="1:32" hidden="1" x14ac:dyDescent="0.2">
      <c r="A94" s="14" t="str">
        <f t="shared" si="22"/>
        <v/>
      </c>
      <c r="B94" s="21" t="s">
        <v>468</v>
      </c>
      <c r="C94" s="15"/>
      <c r="D94" s="242"/>
      <c r="E94" s="21">
        <v>10</v>
      </c>
      <c r="F94" s="85" t="s">
        <v>79</v>
      </c>
      <c r="G94" s="85"/>
      <c r="H94" s="15" t="s">
        <v>66</v>
      </c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7">
        <f t="shared" si="9"/>
        <v>0</v>
      </c>
      <c r="T94" s="7" t="s">
        <v>493</v>
      </c>
      <c r="U94" s="66">
        <f>19.4*AF$2</f>
        <v>19.399999999999999</v>
      </c>
      <c r="V94" s="31">
        <f t="shared" si="20"/>
        <v>0</v>
      </c>
      <c r="W94" s="35">
        <f>Rate!D$9</f>
        <v>38</v>
      </c>
      <c r="X94" s="110">
        <f t="shared" si="17"/>
        <v>0</v>
      </c>
      <c r="Y94" s="110">
        <f t="shared" si="18"/>
        <v>0</v>
      </c>
      <c r="Z94" s="110">
        <f t="shared" si="19"/>
        <v>0</v>
      </c>
      <c r="AA94" s="110">
        <f t="shared" si="23"/>
        <v>0</v>
      </c>
      <c r="AB94" s="110">
        <f t="shared" si="12"/>
        <v>0</v>
      </c>
      <c r="AC94" s="371" t="s">
        <v>163</v>
      </c>
      <c r="AD94" s="371" t="s">
        <v>148</v>
      </c>
      <c r="AE94" s="371" t="s">
        <v>149</v>
      </c>
      <c r="AF94" s="47"/>
    </row>
    <row r="95" spans="1:32" hidden="1" x14ac:dyDescent="0.2">
      <c r="A95" s="14" t="str">
        <f t="shared" si="22"/>
        <v/>
      </c>
      <c r="B95" s="21" t="s">
        <v>468</v>
      </c>
      <c r="C95" s="15"/>
      <c r="D95" s="242"/>
      <c r="E95" s="21">
        <v>12</v>
      </c>
      <c r="F95" s="85" t="s">
        <v>79</v>
      </c>
      <c r="G95" s="85"/>
      <c r="H95" s="15" t="s">
        <v>66</v>
      </c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7">
        <f t="shared" ref="S95:S100" si="24">SUM(I95:R95)</f>
        <v>0</v>
      </c>
      <c r="T95" s="7" t="s">
        <v>493</v>
      </c>
      <c r="U95" s="66">
        <f>22.5*AF$2</f>
        <v>22.5</v>
      </c>
      <c r="V95" s="31">
        <f t="shared" si="20"/>
        <v>0</v>
      </c>
      <c r="W95" s="35">
        <f>Rate!D$9</f>
        <v>38</v>
      </c>
      <c r="X95" s="110">
        <f t="shared" si="17"/>
        <v>0</v>
      </c>
      <c r="Y95" s="110">
        <f t="shared" si="18"/>
        <v>0</v>
      </c>
      <c r="Z95" s="110">
        <f t="shared" si="19"/>
        <v>0</v>
      </c>
      <c r="AA95" s="110">
        <f t="shared" si="23"/>
        <v>0</v>
      </c>
      <c r="AB95" s="110">
        <f t="shared" ref="AB95:AB100" si="25">SUM(X95:AA95)</f>
        <v>0</v>
      </c>
      <c r="AC95" s="371" t="s">
        <v>163</v>
      </c>
      <c r="AD95" s="371" t="s">
        <v>148</v>
      </c>
      <c r="AE95" s="371" t="s">
        <v>149</v>
      </c>
      <c r="AF95" s="47"/>
    </row>
    <row r="96" spans="1:32" hidden="1" x14ac:dyDescent="0.2">
      <c r="A96" s="14" t="str">
        <f t="shared" si="22"/>
        <v/>
      </c>
      <c r="B96" s="21" t="s">
        <v>468</v>
      </c>
      <c r="C96" s="15"/>
      <c r="D96" s="242"/>
      <c r="E96" s="21">
        <v>14</v>
      </c>
      <c r="F96" s="85" t="s">
        <v>79</v>
      </c>
      <c r="G96" s="85"/>
      <c r="H96" s="15" t="s">
        <v>66</v>
      </c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7">
        <f t="shared" si="24"/>
        <v>0</v>
      </c>
      <c r="T96" s="7" t="s">
        <v>493</v>
      </c>
      <c r="U96" s="66">
        <f>26.5*AF$2</f>
        <v>26.5</v>
      </c>
      <c r="V96" s="31">
        <f t="shared" si="20"/>
        <v>0</v>
      </c>
      <c r="W96" s="35">
        <f>Rate!D$9</f>
        <v>38</v>
      </c>
      <c r="X96" s="110">
        <f t="shared" si="17"/>
        <v>0</v>
      </c>
      <c r="Y96" s="110">
        <f t="shared" si="18"/>
        <v>0</v>
      </c>
      <c r="Z96" s="110">
        <f t="shared" si="19"/>
        <v>0</v>
      </c>
      <c r="AA96" s="110">
        <f t="shared" si="23"/>
        <v>0</v>
      </c>
      <c r="AB96" s="110">
        <f t="shared" si="25"/>
        <v>0</v>
      </c>
      <c r="AC96" s="371" t="s">
        <v>163</v>
      </c>
      <c r="AD96" s="371" t="s">
        <v>148</v>
      </c>
      <c r="AE96" s="371" t="s">
        <v>149</v>
      </c>
      <c r="AF96" s="47"/>
    </row>
    <row r="97" spans="1:32" hidden="1" x14ac:dyDescent="0.2">
      <c r="A97" s="14" t="str">
        <f t="shared" si="22"/>
        <v/>
      </c>
      <c r="B97" s="21" t="s">
        <v>468</v>
      </c>
      <c r="C97" s="15"/>
      <c r="D97" s="242"/>
      <c r="E97" s="21">
        <v>16</v>
      </c>
      <c r="F97" s="85" t="s">
        <v>79</v>
      </c>
      <c r="G97" s="85"/>
      <c r="H97" s="15" t="s">
        <v>66</v>
      </c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7">
        <f t="shared" si="24"/>
        <v>0</v>
      </c>
      <c r="T97" s="7" t="s">
        <v>493</v>
      </c>
      <c r="U97" s="66">
        <f>30.4*AF$2</f>
        <v>30.4</v>
      </c>
      <c r="V97" s="31">
        <f t="shared" si="20"/>
        <v>0</v>
      </c>
      <c r="W97" s="35">
        <f>Rate!D$9</f>
        <v>38</v>
      </c>
      <c r="X97" s="110">
        <f t="shared" si="17"/>
        <v>0</v>
      </c>
      <c r="Y97" s="110">
        <f t="shared" si="18"/>
        <v>0</v>
      </c>
      <c r="Z97" s="110">
        <f t="shared" si="19"/>
        <v>0</v>
      </c>
      <c r="AA97" s="110">
        <f t="shared" si="23"/>
        <v>0</v>
      </c>
      <c r="AB97" s="110">
        <f t="shared" si="25"/>
        <v>0</v>
      </c>
      <c r="AC97" s="371" t="s">
        <v>163</v>
      </c>
      <c r="AD97" s="371" t="s">
        <v>148</v>
      </c>
      <c r="AE97" s="371" t="s">
        <v>149</v>
      </c>
      <c r="AF97" s="47"/>
    </row>
    <row r="98" spans="1:32" hidden="1" x14ac:dyDescent="0.2">
      <c r="A98" s="14" t="str">
        <f t="shared" si="22"/>
        <v/>
      </c>
      <c r="B98" s="21" t="s">
        <v>468</v>
      </c>
      <c r="C98" s="15"/>
      <c r="D98" s="242"/>
      <c r="E98" s="21">
        <v>18</v>
      </c>
      <c r="F98" s="85" t="s">
        <v>79</v>
      </c>
      <c r="G98" s="85"/>
      <c r="H98" s="15" t="s">
        <v>66</v>
      </c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7">
        <f t="shared" si="24"/>
        <v>0</v>
      </c>
      <c r="T98" s="7" t="s">
        <v>493</v>
      </c>
      <c r="U98" s="66">
        <f>36.9*AF$2</f>
        <v>36.9</v>
      </c>
      <c r="V98" s="31">
        <f t="shared" si="20"/>
        <v>0</v>
      </c>
      <c r="W98" s="35">
        <f>Rate!D$9</f>
        <v>38</v>
      </c>
      <c r="X98" s="110">
        <f t="shared" si="17"/>
        <v>0</v>
      </c>
      <c r="Y98" s="110">
        <f t="shared" si="18"/>
        <v>0</v>
      </c>
      <c r="Z98" s="110">
        <f t="shared" si="19"/>
        <v>0</v>
      </c>
      <c r="AA98" s="110">
        <f t="shared" si="23"/>
        <v>0</v>
      </c>
      <c r="AB98" s="110">
        <f t="shared" si="25"/>
        <v>0</v>
      </c>
      <c r="AC98" s="371" t="s">
        <v>163</v>
      </c>
      <c r="AD98" s="371" t="s">
        <v>148</v>
      </c>
      <c r="AE98" s="371" t="s">
        <v>149</v>
      </c>
      <c r="AF98" s="47"/>
    </row>
    <row r="99" spans="1:32" hidden="1" x14ac:dyDescent="0.2">
      <c r="A99" s="14" t="str">
        <f t="shared" si="22"/>
        <v/>
      </c>
      <c r="B99" s="21" t="s">
        <v>468</v>
      </c>
      <c r="C99" s="15"/>
      <c r="D99" s="242"/>
      <c r="E99" s="21">
        <v>20</v>
      </c>
      <c r="F99" s="85" t="s">
        <v>79</v>
      </c>
      <c r="G99" s="85"/>
      <c r="H99" s="15" t="s">
        <v>66</v>
      </c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7">
        <f t="shared" si="24"/>
        <v>0</v>
      </c>
      <c r="T99" s="7" t="s">
        <v>493</v>
      </c>
      <c r="U99" s="66">
        <f>44.9*AF$2</f>
        <v>44.9</v>
      </c>
      <c r="V99" s="31">
        <f t="shared" ref="V99:V100" si="26">+S99*U99</f>
        <v>0</v>
      </c>
      <c r="W99" s="35">
        <f>Rate!D$9</f>
        <v>38</v>
      </c>
      <c r="X99" s="110">
        <f t="shared" si="17"/>
        <v>0</v>
      </c>
      <c r="Y99" s="110">
        <f t="shared" si="18"/>
        <v>0</v>
      </c>
      <c r="Z99" s="110">
        <f t="shared" si="19"/>
        <v>0</v>
      </c>
      <c r="AA99" s="110">
        <f t="shared" si="23"/>
        <v>0</v>
      </c>
      <c r="AB99" s="110">
        <f t="shared" si="25"/>
        <v>0</v>
      </c>
      <c r="AC99" s="371" t="s">
        <v>163</v>
      </c>
      <c r="AD99" s="371" t="s">
        <v>148</v>
      </c>
      <c r="AE99" s="371" t="s">
        <v>149</v>
      </c>
      <c r="AF99" s="47"/>
    </row>
    <row r="100" spans="1:32" hidden="1" x14ac:dyDescent="0.2">
      <c r="A100" s="14" t="str">
        <f t="shared" si="22"/>
        <v/>
      </c>
      <c r="B100" s="21" t="s">
        <v>468</v>
      </c>
      <c r="C100" s="15"/>
      <c r="D100" s="242"/>
      <c r="E100" s="21">
        <v>24</v>
      </c>
      <c r="F100" s="85" t="s">
        <v>79</v>
      </c>
      <c r="G100" s="85"/>
      <c r="H100" s="15" t="s">
        <v>66</v>
      </c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7">
        <f t="shared" si="24"/>
        <v>0</v>
      </c>
      <c r="T100" s="7" t="s">
        <v>493</v>
      </c>
      <c r="U100" s="66">
        <f>73.3*AF$2</f>
        <v>73.3</v>
      </c>
      <c r="V100" s="31">
        <f t="shared" si="26"/>
        <v>0</v>
      </c>
      <c r="W100" s="35">
        <f>Rate!D$9</f>
        <v>38</v>
      </c>
      <c r="X100" s="110">
        <f t="shared" si="17"/>
        <v>0</v>
      </c>
      <c r="Y100" s="110">
        <f t="shared" si="18"/>
        <v>0</v>
      </c>
      <c r="Z100" s="110">
        <f t="shared" si="19"/>
        <v>0</v>
      </c>
      <c r="AA100" s="110">
        <f t="shared" si="23"/>
        <v>0</v>
      </c>
      <c r="AB100" s="110">
        <f t="shared" si="25"/>
        <v>0</v>
      </c>
      <c r="AC100" s="371" t="s">
        <v>163</v>
      </c>
      <c r="AD100" s="371" t="s">
        <v>148</v>
      </c>
      <c r="AE100" s="371" t="s">
        <v>149</v>
      </c>
      <c r="AF100" s="47"/>
    </row>
    <row r="101" spans="1:32" ht="13.5" hidden="1" thickBot="1" x14ac:dyDescent="0.25">
      <c r="A101" s="14" t="str">
        <f>IF(SUM(S102:S184)&lt;&gt;0,"X","")</f>
        <v/>
      </c>
      <c r="B101" s="209" t="s">
        <v>469</v>
      </c>
      <c r="C101" s="416" t="s">
        <v>13</v>
      </c>
      <c r="D101" s="240"/>
      <c r="E101" s="210" t="s">
        <v>7</v>
      </c>
      <c r="F101" s="210" t="s">
        <v>60</v>
      </c>
      <c r="G101" s="210" t="s">
        <v>578</v>
      </c>
      <c r="H101" s="211"/>
      <c r="I101" s="211"/>
      <c r="J101" s="211"/>
      <c r="K101" s="211"/>
      <c r="L101" s="211"/>
      <c r="M101" s="211"/>
      <c r="N101" s="211"/>
      <c r="O101" s="211"/>
      <c r="P101" s="211"/>
      <c r="Q101" s="211"/>
      <c r="R101" s="211"/>
      <c r="S101" s="211"/>
      <c r="T101" s="211"/>
      <c r="U101" s="212"/>
      <c r="V101" s="213"/>
      <c r="W101" s="214"/>
      <c r="X101" s="215">
        <f t="shared" si="17"/>
        <v>0</v>
      </c>
      <c r="Y101" s="215">
        <f t="shared" si="18"/>
        <v>0</v>
      </c>
      <c r="Z101" s="215">
        <f t="shared" si="19"/>
        <v>0</v>
      </c>
      <c r="AA101" s="215">
        <f t="shared" si="23"/>
        <v>0</v>
      </c>
      <c r="AB101" s="216">
        <f t="shared" ref="AB101:AB132" si="27">SUM(X101:AA101)</f>
        <v>0</v>
      </c>
      <c r="AC101" s="372"/>
      <c r="AD101" s="372"/>
      <c r="AE101" s="372" t="s">
        <v>13</v>
      </c>
      <c r="AF101" s="370">
        <v>3</v>
      </c>
    </row>
    <row r="102" spans="1:32" hidden="1" x14ac:dyDescent="0.2">
      <c r="A102" s="14" t="str">
        <f t="shared" ref="A102:A133" si="28">+IF(AB102&lt;&gt;0,"X","")</f>
        <v/>
      </c>
      <c r="B102" s="262" t="s">
        <v>470</v>
      </c>
      <c r="C102" s="317"/>
      <c r="D102" s="266"/>
      <c r="E102" s="262">
        <v>1</v>
      </c>
      <c r="F102" s="287" t="s">
        <v>0</v>
      </c>
      <c r="G102" s="294">
        <v>0.13300000000000001</v>
      </c>
      <c r="H102" s="15" t="s">
        <v>66</v>
      </c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7">
        <f t="shared" ref="S102:S133" si="29">SUM(I102:R102)</f>
        <v>0</v>
      </c>
      <c r="T102" s="7" t="s">
        <v>493</v>
      </c>
      <c r="U102" s="66">
        <f>0.7*AF$101</f>
        <v>2.0999999999999996</v>
      </c>
      <c r="V102" s="86">
        <f t="shared" ref="V102:V133" si="30">+S102*U102</f>
        <v>0</v>
      </c>
      <c r="W102" s="35">
        <f>Rate!D$9</f>
        <v>38</v>
      </c>
      <c r="X102" s="110">
        <f t="shared" si="17"/>
        <v>0</v>
      </c>
      <c r="Y102" s="110">
        <f t="shared" si="18"/>
        <v>0</v>
      </c>
      <c r="Z102" s="110">
        <f t="shared" si="19"/>
        <v>0</v>
      </c>
      <c r="AA102" s="110">
        <f t="shared" ref="AA102:AA133" si="31">IF(H102="E",B102*S102*W102,0)</f>
        <v>0</v>
      </c>
      <c r="AB102" s="110">
        <f t="shared" si="27"/>
        <v>0</v>
      </c>
      <c r="AC102" s="371" t="s">
        <v>163</v>
      </c>
      <c r="AD102" s="371" t="s">
        <v>148</v>
      </c>
      <c r="AE102" s="371" t="s">
        <v>149</v>
      </c>
      <c r="AF102" s="47"/>
    </row>
    <row r="103" spans="1:32" hidden="1" x14ac:dyDescent="0.2">
      <c r="A103" s="14" t="str">
        <f t="shared" si="28"/>
        <v/>
      </c>
      <c r="B103" s="262" t="s">
        <v>470</v>
      </c>
      <c r="C103" s="317"/>
      <c r="D103" s="266"/>
      <c r="E103" s="262">
        <v>1.5</v>
      </c>
      <c r="F103" s="287" t="s">
        <v>0</v>
      </c>
      <c r="G103" s="294">
        <v>0.14499999999999999</v>
      </c>
      <c r="H103" s="15" t="s">
        <v>66</v>
      </c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7">
        <f t="shared" si="29"/>
        <v>0</v>
      </c>
      <c r="T103" s="7" t="s">
        <v>493</v>
      </c>
      <c r="U103" s="66">
        <f>0.8*AF$101</f>
        <v>2.4000000000000004</v>
      </c>
      <c r="V103" s="86">
        <f t="shared" si="30"/>
        <v>0</v>
      </c>
      <c r="W103" s="35">
        <f>Rate!D$9</f>
        <v>38</v>
      </c>
      <c r="X103" s="110">
        <f t="shared" si="17"/>
        <v>0</v>
      </c>
      <c r="Y103" s="110">
        <f t="shared" si="18"/>
        <v>0</v>
      </c>
      <c r="Z103" s="110">
        <f t="shared" si="19"/>
        <v>0</v>
      </c>
      <c r="AA103" s="110">
        <f t="shared" si="31"/>
        <v>0</v>
      </c>
      <c r="AB103" s="110">
        <f t="shared" si="27"/>
        <v>0</v>
      </c>
      <c r="AC103" s="371" t="s">
        <v>163</v>
      </c>
      <c r="AD103" s="371" t="s">
        <v>148</v>
      </c>
      <c r="AE103" s="371" t="s">
        <v>149</v>
      </c>
      <c r="AF103" s="371"/>
    </row>
    <row r="104" spans="1:32" hidden="1" x14ac:dyDescent="0.2">
      <c r="A104" s="14" t="str">
        <f t="shared" si="28"/>
        <v/>
      </c>
      <c r="B104" s="262" t="s">
        <v>470</v>
      </c>
      <c r="C104" s="317"/>
      <c r="D104" s="266"/>
      <c r="E104" s="262">
        <v>2</v>
      </c>
      <c r="F104" s="287" t="s">
        <v>0</v>
      </c>
      <c r="G104" s="294">
        <v>0.154</v>
      </c>
      <c r="H104" s="15" t="s">
        <v>66</v>
      </c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7">
        <f t="shared" si="29"/>
        <v>0</v>
      </c>
      <c r="T104" s="7" t="s">
        <v>493</v>
      </c>
      <c r="U104" s="66">
        <f>1*AF$101</f>
        <v>3</v>
      </c>
      <c r="V104" s="86">
        <f t="shared" si="30"/>
        <v>0</v>
      </c>
      <c r="W104" s="35">
        <f>Rate!D$9</f>
        <v>38</v>
      </c>
      <c r="X104" s="110">
        <f t="shared" si="17"/>
        <v>0</v>
      </c>
      <c r="Y104" s="110">
        <f t="shared" si="18"/>
        <v>0</v>
      </c>
      <c r="Z104" s="110">
        <f t="shared" si="19"/>
        <v>0</v>
      </c>
      <c r="AA104" s="110">
        <f t="shared" si="31"/>
        <v>0</v>
      </c>
      <c r="AB104" s="110">
        <f t="shared" si="27"/>
        <v>0</v>
      </c>
      <c r="AC104" s="371" t="s">
        <v>163</v>
      </c>
      <c r="AD104" s="371" t="s">
        <v>148</v>
      </c>
      <c r="AE104" s="371" t="s">
        <v>149</v>
      </c>
      <c r="AF104" s="371"/>
    </row>
    <row r="105" spans="1:32" hidden="1" x14ac:dyDescent="0.2">
      <c r="A105" s="14" t="str">
        <f t="shared" si="28"/>
        <v/>
      </c>
      <c r="B105" s="262" t="s">
        <v>470</v>
      </c>
      <c r="C105" s="317"/>
      <c r="D105" s="266"/>
      <c r="E105" s="262">
        <v>3</v>
      </c>
      <c r="F105" s="287" t="s">
        <v>0</v>
      </c>
      <c r="G105" s="294">
        <v>0.216</v>
      </c>
      <c r="H105" s="15" t="s">
        <v>66</v>
      </c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7">
        <f t="shared" si="29"/>
        <v>0</v>
      </c>
      <c r="T105" s="7" t="s">
        <v>493</v>
      </c>
      <c r="U105" s="66">
        <f>1.3*AF$101</f>
        <v>3.9000000000000004</v>
      </c>
      <c r="V105" s="86">
        <f t="shared" si="30"/>
        <v>0</v>
      </c>
      <c r="W105" s="35">
        <f>Rate!D$9</f>
        <v>38</v>
      </c>
      <c r="X105" s="110">
        <f t="shared" si="17"/>
        <v>0</v>
      </c>
      <c r="Y105" s="110">
        <f t="shared" si="18"/>
        <v>0</v>
      </c>
      <c r="Z105" s="110">
        <f t="shared" si="19"/>
        <v>0</v>
      </c>
      <c r="AA105" s="110">
        <f t="shared" si="31"/>
        <v>0</v>
      </c>
      <c r="AB105" s="110">
        <f t="shared" si="27"/>
        <v>0</v>
      </c>
      <c r="AC105" s="371" t="s">
        <v>163</v>
      </c>
      <c r="AD105" s="371" t="s">
        <v>148</v>
      </c>
      <c r="AE105" s="371" t="s">
        <v>149</v>
      </c>
      <c r="AF105" s="371"/>
    </row>
    <row r="106" spans="1:32" hidden="1" x14ac:dyDescent="0.2">
      <c r="A106" s="14" t="str">
        <f t="shared" si="28"/>
        <v/>
      </c>
      <c r="B106" s="262" t="s">
        <v>470</v>
      </c>
      <c r="C106" s="317"/>
      <c r="D106" s="266"/>
      <c r="E106" s="262">
        <v>4</v>
      </c>
      <c r="F106" s="287" t="s">
        <v>0</v>
      </c>
      <c r="G106" s="294">
        <v>0.23699999999999999</v>
      </c>
      <c r="H106" s="15" t="s">
        <v>66</v>
      </c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7">
        <f t="shared" si="29"/>
        <v>0</v>
      </c>
      <c r="T106" s="7" t="s">
        <v>493</v>
      </c>
      <c r="U106" s="66">
        <f>1.5*AF$101</f>
        <v>4.5</v>
      </c>
      <c r="V106" s="86">
        <f t="shared" si="30"/>
        <v>0</v>
      </c>
      <c r="W106" s="35">
        <f>Rate!D$9</f>
        <v>38</v>
      </c>
      <c r="X106" s="110">
        <f t="shared" si="17"/>
        <v>0</v>
      </c>
      <c r="Y106" s="110">
        <f t="shared" si="18"/>
        <v>0</v>
      </c>
      <c r="Z106" s="110">
        <f t="shared" si="19"/>
        <v>0</v>
      </c>
      <c r="AA106" s="110">
        <f t="shared" si="31"/>
        <v>0</v>
      </c>
      <c r="AB106" s="110">
        <f t="shared" si="27"/>
        <v>0</v>
      </c>
      <c r="AC106" s="371" t="s">
        <v>163</v>
      </c>
      <c r="AD106" s="371" t="s">
        <v>148</v>
      </c>
      <c r="AE106" s="371" t="s">
        <v>149</v>
      </c>
      <c r="AF106" s="371"/>
    </row>
    <row r="107" spans="1:32" hidden="1" x14ac:dyDescent="0.2">
      <c r="A107" s="14" t="str">
        <f t="shared" si="28"/>
        <v/>
      </c>
      <c r="B107" s="262" t="s">
        <v>470</v>
      </c>
      <c r="C107" s="317"/>
      <c r="D107" s="266"/>
      <c r="E107" s="262">
        <v>6</v>
      </c>
      <c r="F107" s="287" t="s">
        <v>0</v>
      </c>
      <c r="G107" s="294">
        <v>0.28000000000000003</v>
      </c>
      <c r="H107" s="15" t="s">
        <v>66</v>
      </c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7">
        <f t="shared" si="29"/>
        <v>0</v>
      </c>
      <c r="T107" s="7" t="s">
        <v>493</v>
      </c>
      <c r="U107" s="66">
        <f>2*AF$101</f>
        <v>6</v>
      </c>
      <c r="V107" s="86">
        <f t="shared" si="30"/>
        <v>0</v>
      </c>
      <c r="W107" s="35">
        <f>Rate!D$9</f>
        <v>38</v>
      </c>
      <c r="X107" s="110">
        <f t="shared" si="17"/>
        <v>0</v>
      </c>
      <c r="Y107" s="110">
        <f t="shared" si="18"/>
        <v>0</v>
      </c>
      <c r="Z107" s="110">
        <f t="shared" si="19"/>
        <v>0</v>
      </c>
      <c r="AA107" s="110">
        <f t="shared" si="31"/>
        <v>0</v>
      </c>
      <c r="AB107" s="110">
        <f t="shared" si="27"/>
        <v>0</v>
      </c>
      <c r="AC107" s="371" t="s">
        <v>163</v>
      </c>
      <c r="AD107" s="371" t="s">
        <v>148</v>
      </c>
      <c r="AE107" s="371" t="s">
        <v>149</v>
      </c>
      <c r="AF107" s="371"/>
    </row>
    <row r="108" spans="1:32" hidden="1" x14ac:dyDescent="0.2">
      <c r="A108" s="14" t="str">
        <f t="shared" si="28"/>
        <v/>
      </c>
      <c r="B108" s="262" t="s">
        <v>470</v>
      </c>
      <c r="C108" s="317"/>
      <c r="D108" s="266"/>
      <c r="E108" s="262">
        <v>8</v>
      </c>
      <c r="F108" s="287" t="s">
        <v>0</v>
      </c>
      <c r="G108" s="294">
        <v>0.32200000000000001</v>
      </c>
      <c r="H108" s="15" t="s">
        <v>66</v>
      </c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7">
        <f t="shared" si="29"/>
        <v>0</v>
      </c>
      <c r="T108" s="7" t="s">
        <v>493</v>
      </c>
      <c r="U108" s="66">
        <f>2.6*AF$101</f>
        <v>7.8000000000000007</v>
      </c>
      <c r="V108" s="86">
        <f t="shared" si="30"/>
        <v>0</v>
      </c>
      <c r="W108" s="35">
        <f>Rate!D$9</f>
        <v>38</v>
      </c>
      <c r="X108" s="110">
        <f t="shared" si="17"/>
        <v>0</v>
      </c>
      <c r="Y108" s="110">
        <f t="shared" si="18"/>
        <v>0</v>
      </c>
      <c r="Z108" s="110">
        <f t="shared" si="19"/>
        <v>0</v>
      </c>
      <c r="AA108" s="110">
        <f t="shared" si="31"/>
        <v>0</v>
      </c>
      <c r="AB108" s="110">
        <f t="shared" si="27"/>
        <v>0</v>
      </c>
      <c r="AC108" s="371" t="s">
        <v>163</v>
      </c>
      <c r="AD108" s="371" t="s">
        <v>148</v>
      </c>
      <c r="AE108" s="371" t="s">
        <v>149</v>
      </c>
      <c r="AF108" s="371"/>
    </row>
    <row r="109" spans="1:32" hidden="1" x14ac:dyDescent="0.2">
      <c r="A109" s="14" t="str">
        <f t="shared" si="28"/>
        <v/>
      </c>
      <c r="B109" s="262" t="s">
        <v>470</v>
      </c>
      <c r="C109" s="317"/>
      <c r="D109" s="266"/>
      <c r="E109" s="262">
        <v>10</v>
      </c>
      <c r="F109" s="287" t="s">
        <v>0</v>
      </c>
      <c r="G109" s="294">
        <v>0.36499999999999999</v>
      </c>
      <c r="H109" s="15" t="s">
        <v>66</v>
      </c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7">
        <f t="shared" si="29"/>
        <v>0</v>
      </c>
      <c r="T109" s="7" t="s">
        <v>493</v>
      </c>
      <c r="U109" s="66">
        <f>3.1*AF$101</f>
        <v>9.3000000000000007</v>
      </c>
      <c r="V109" s="86">
        <f t="shared" si="30"/>
        <v>0</v>
      </c>
      <c r="W109" s="35">
        <f>Rate!D$9</f>
        <v>38</v>
      </c>
      <c r="X109" s="110">
        <f t="shared" si="17"/>
        <v>0</v>
      </c>
      <c r="Y109" s="110">
        <f t="shared" si="18"/>
        <v>0</v>
      </c>
      <c r="Z109" s="110">
        <f t="shared" si="19"/>
        <v>0</v>
      </c>
      <c r="AA109" s="110">
        <f t="shared" si="31"/>
        <v>0</v>
      </c>
      <c r="AB109" s="110">
        <f t="shared" si="27"/>
        <v>0</v>
      </c>
      <c r="AC109" s="371" t="s">
        <v>163</v>
      </c>
      <c r="AD109" s="371" t="s">
        <v>148</v>
      </c>
      <c r="AE109" s="371" t="s">
        <v>149</v>
      </c>
      <c r="AF109" s="371"/>
    </row>
    <row r="110" spans="1:32" hidden="1" x14ac:dyDescent="0.2">
      <c r="A110" s="14" t="str">
        <f t="shared" si="28"/>
        <v/>
      </c>
      <c r="B110" s="262" t="s">
        <v>470</v>
      </c>
      <c r="C110" s="317"/>
      <c r="D110" s="266"/>
      <c r="E110" s="262">
        <v>12</v>
      </c>
      <c r="F110" s="287" t="s">
        <v>0</v>
      </c>
      <c r="G110" s="294">
        <v>0.375</v>
      </c>
      <c r="H110" s="15" t="s">
        <v>66</v>
      </c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7">
        <f t="shared" si="29"/>
        <v>0</v>
      </c>
      <c r="T110" s="7" t="s">
        <v>493</v>
      </c>
      <c r="U110" s="66">
        <f>3.6*AF$101</f>
        <v>10.8</v>
      </c>
      <c r="V110" s="86">
        <f t="shared" si="30"/>
        <v>0</v>
      </c>
      <c r="W110" s="35">
        <f>Rate!D$9</f>
        <v>38</v>
      </c>
      <c r="X110" s="110">
        <f t="shared" si="17"/>
        <v>0</v>
      </c>
      <c r="Y110" s="110">
        <f t="shared" si="18"/>
        <v>0</v>
      </c>
      <c r="Z110" s="110">
        <f t="shared" si="19"/>
        <v>0</v>
      </c>
      <c r="AA110" s="110">
        <f t="shared" si="31"/>
        <v>0</v>
      </c>
      <c r="AB110" s="110">
        <f t="shared" si="27"/>
        <v>0</v>
      </c>
      <c r="AC110" s="371" t="s">
        <v>163</v>
      </c>
      <c r="AD110" s="371" t="s">
        <v>148</v>
      </c>
      <c r="AE110" s="371" t="s">
        <v>149</v>
      </c>
      <c r="AF110" s="371"/>
    </row>
    <row r="111" spans="1:32" hidden="1" x14ac:dyDescent="0.2">
      <c r="A111" s="14" t="str">
        <f t="shared" si="28"/>
        <v/>
      </c>
      <c r="B111" s="262" t="s">
        <v>470</v>
      </c>
      <c r="C111" s="317"/>
      <c r="D111" s="266"/>
      <c r="E111" s="262">
        <v>14</v>
      </c>
      <c r="F111" s="287" t="s">
        <v>0</v>
      </c>
      <c r="G111" s="294">
        <v>0.375</v>
      </c>
      <c r="H111" s="15" t="s">
        <v>66</v>
      </c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7">
        <f t="shared" si="29"/>
        <v>0</v>
      </c>
      <c r="T111" s="7" t="s">
        <v>493</v>
      </c>
      <c r="U111" s="134">
        <f>4.3*AF$101</f>
        <v>12.899999999999999</v>
      </c>
      <c r="V111" s="86">
        <f t="shared" si="30"/>
        <v>0</v>
      </c>
      <c r="W111" s="35">
        <f>Rate!D$9</f>
        <v>38</v>
      </c>
      <c r="X111" s="110">
        <f t="shared" si="17"/>
        <v>0</v>
      </c>
      <c r="Y111" s="110">
        <f t="shared" si="18"/>
        <v>0</v>
      </c>
      <c r="Z111" s="110">
        <f t="shared" si="19"/>
        <v>0</v>
      </c>
      <c r="AA111" s="110">
        <f t="shared" si="31"/>
        <v>0</v>
      </c>
      <c r="AB111" s="110">
        <f t="shared" si="27"/>
        <v>0</v>
      </c>
      <c r="AC111" s="371" t="s">
        <v>163</v>
      </c>
      <c r="AD111" s="371" t="s">
        <v>148</v>
      </c>
      <c r="AE111" s="371" t="s">
        <v>149</v>
      </c>
      <c r="AF111" s="371"/>
    </row>
    <row r="112" spans="1:32" hidden="1" x14ac:dyDescent="0.2">
      <c r="A112" s="14" t="str">
        <f t="shared" si="28"/>
        <v/>
      </c>
      <c r="B112" s="262" t="s">
        <v>470</v>
      </c>
      <c r="C112" s="317"/>
      <c r="D112" s="266"/>
      <c r="E112" s="262">
        <v>16</v>
      </c>
      <c r="F112" s="287" t="s">
        <v>0</v>
      </c>
      <c r="G112" s="294">
        <v>0.375</v>
      </c>
      <c r="H112" s="15" t="s">
        <v>66</v>
      </c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7">
        <f t="shared" si="29"/>
        <v>0</v>
      </c>
      <c r="T112" s="7" t="s">
        <v>493</v>
      </c>
      <c r="U112" s="66">
        <f>5*AF$101</f>
        <v>15</v>
      </c>
      <c r="V112" s="86">
        <f t="shared" si="30"/>
        <v>0</v>
      </c>
      <c r="W112" s="35">
        <f>Rate!D$9</f>
        <v>38</v>
      </c>
      <c r="X112" s="110">
        <f t="shared" si="17"/>
        <v>0</v>
      </c>
      <c r="Y112" s="110">
        <f t="shared" si="18"/>
        <v>0</v>
      </c>
      <c r="Z112" s="110">
        <f t="shared" si="19"/>
        <v>0</v>
      </c>
      <c r="AA112" s="110">
        <f t="shared" si="31"/>
        <v>0</v>
      </c>
      <c r="AB112" s="110">
        <f t="shared" si="27"/>
        <v>0</v>
      </c>
      <c r="AC112" s="371" t="s">
        <v>163</v>
      </c>
      <c r="AD112" s="371" t="s">
        <v>148</v>
      </c>
      <c r="AE112" s="371" t="s">
        <v>149</v>
      </c>
      <c r="AF112" s="371"/>
    </row>
    <row r="113" spans="1:32" hidden="1" x14ac:dyDescent="0.2">
      <c r="A113" s="14" t="str">
        <f t="shared" si="28"/>
        <v/>
      </c>
      <c r="B113" s="262" t="s">
        <v>470</v>
      </c>
      <c r="C113" s="317"/>
      <c r="D113" s="266"/>
      <c r="E113" s="262">
        <v>18</v>
      </c>
      <c r="F113" s="287" t="s">
        <v>0</v>
      </c>
      <c r="G113" s="294">
        <v>0.375</v>
      </c>
      <c r="H113" s="15" t="s">
        <v>66</v>
      </c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7">
        <f t="shared" si="29"/>
        <v>0</v>
      </c>
      <c r="T113" s="7" t="s">
        <v>493</v>
      </c>
      <c r="U113" s="66">
        <f>5.9*AF$101</f>
        <v>17.700000000000003</v>
      </c>
      <c r="V113" s="86">
        <f t="shared" si="30"/>
        <v>0</v>
      </c>
      <c r="W113" s="35">
        <f>Rate!D$9</f>
        <v>38</v>
      </c>
      <c r="X113" s="110">
        <f t="shared" si="17"/>
        <v>0</v>
      </c>
      <c r="Y113" s="110">
        <f t="shared" si="18"/>
        <v>0</v>
      </c>
      <c r="Z113" s="110">
        <f t="shared" si="19"/>
        <v>0</v>
      </c>
      <c r="AA113" s="110">
        <f t="shared" si="31"/>
        <v>0</v>
      </c>
      <c r="AB113" s="110">
        <f t="shared" si="27"/>
        <v>0</v>
      </c>
      <c r="AC113" s="371" t="s">
        <v>163</v>
      </c>
      <c r="AD113" s="371" t="s">
        <v>148</v>
      </c>
      <c r="AE113" s="371" t="s">
        <v>149</v>
      </c>
      <c r="AF113" s="371"/>
    </row>
    <row r="114" spans="1:32" hidden="1" x14ac:dyDescent="0.2">
      <c r="A114" s="14" t="str">
        <f t="shared" si="28"/>
        <v/>
      </c>
      <c r="B114" s="262" t="s">
        <v>470</v>
      </c>
      <c r="C114" s="317"/>
      <c r="D114" s="266"/>
      <c r="E114" s="262">
        <v>20</v>
      </c>
      <c r="F114" s="287" t="s">
        <v>0</v>
      </c>
      <c r="G114" s="294">
        <v>0.375</v>
      </c>
      <c r="H114" s="15" t="s">
        <v>66</v>
      </c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7">
        <f t="shared" si="29"/>
        <v>0</v>
      </c>
      <c r="T114" s="7" t="s">
        <v>493</v>
      </c>
      <c r="U114" s="66">
        <f>6.3*AF$101</f>
        <v>18.899999999999999</v>
      </c>
      <c r="V114" s="86">
        <f t="shared" si="30"/>
        <v>0</v>
      </c>
      <c r="W114" s="35">
        <f>Rate!D$9</f>
        <v>38</v>
      </c>
      <c r="X114" s="110">
        <f t="shared" si="17"/>
        <v>0</v>
      </c>
      <c r="Y114" s="110">
        <f t="shared" si="18"/>
        <v>0</v>
      </c>
      <c r="Z114" s="110">
        <f t="shared" si="19"/>
        <v>0</v>
      </c>
      <c r="AA114" s="110">
        <f t="shared" si="31"/>
        <v>0</v>
      </c>
      <c r="AB114" s="110">
        <f t="shared" si="27"/>
        <v>0</v>
      </c>
      <c r="AC114" s="371" t="s">
        <v>163</v>
      </c>
      <c r="AD114" s="371" t="s">
        <v>148</v>
      </c>
      <c r="AE114" s="371" t="s">
        <v>149</v>
      </c>
      <c r="AF114" s="371"/>
    </row>
    <row r="115" spans="1:32" hidden="1" x14ac:dyDescent="0.2">
      <c r="A115" s="14" t="str">
        <f t="shared" si="28"/>
        <v/>
      </c>
      <c r="B115" s="262" t="s">
        <v>470</v>
      </c>
      <c r="C115" s="317"/>
      <c r="D115" s="266"/>
      <c r="E115" s="262">
        <v>24</v>
      </c>
      <c r="F115" s="287" t="s">
        <v>0</v>
      </c>
      <c r="G115" s="294">
        <v>0.375</v>
      </c>
      <c r="H115" s="15" t="s">
        <v>66</v>
      </c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7">
        <f t="shared" si="29"/>
        <v>0</v>
      </c>
      <c r="T115" s="7" t="s">
        <v>493</v>
      </c>
      <c r="U115" s="66">
        <f>6.9*AF$101</f>
        <v>20.700000000000003</v>
      </c>
      <c r="V115" s="86">
        <f t="shared" si="30"/>
        <v>0</v>
      </c>
      <c r="W115" s="35">
        <f>Rate!D$9</f>
        <v>38</v>
      </c>
      <c r="X115" s="110">
        <f t="shared" si="17"/>
        <v>0</v>
      </c>
      <c r="Y115" s="110">
        <f t="shared" si="18"/>
        <v>0</v>
      </c>
      <c r="Z115" s="110">
        <f t="shared" si="19"/>
        <v>0</v>
      </c>
      <c r="AA115" s="110">
        <f t="shared" si="31"/>
        <v>0</v>
      </c>
      <c r="AB115" s="110">
        <f t="shared" si="27"/>
        <v>0</v>
      </c>
      <c r="AC115" s="371" t="s">
        <v>163</v>
      </c>
      <c r="AD115" s="371" t="s">
        <v>148</v>
      </c>
      <c r="AE115" s="371" t="s">
        <v>149</v>
      </c>
      <c r="AF115" s="371"/>
    </row>
    <row r="116" spans="1:32" hidden="1" x14ac:dyDescent="0.2">
      <c r="A116" s="14" t="str">
        <f t="shared" si="28"/>
        <v/>
      </c>
      <c r="B116" s="262" t="s">
        <v>470</v>
      </c>
      <c r="C116" s="317"/>
      <c r="D116" s="266"/>
      <c r="E116" s="262">
        <v>30</v>
      </c>
      <c r="F116" s="287" t="s">
        <v>0</v>
      </c>
      <c r="G116" s="294">
        <v>0.375</v>
      </c>
      <c r="H116" s="15" t="s">
        <v>66</v>
      </c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7">
        <f t="shared" si="29"/>
        <v>0</v>
      </c>
      <c r="T116" s="7" t="s">
        <v>493</v>
      </c>
      <c r="U116" s="66">
        <f>12.5*AF$101</f>
        <v>37.5</v>
      </c>
      <c r="V116" s="86">
        <f t="shared" si="30"/>
        <v>0</v>
      </c>
      <c r="W116" s="35">
        <f>Rate!D$9</f>
        <v>38</v>
      </c>
      <c r="X116" s="110">
        <f t="shared" si="17"/>
        <v>0</v>
      </c>
      <c r="Y116" s="110">
        <f t="shared" si="18"/>
        <v>0</v>
      </c>
      <c r="Z116" s="110">
        <f t="shared" si="19"/>
        <v>0</v>
      </c>
      <c r="AA116" s="110">
        <f t="shared" si="31"/>
        <v>0</v>
      </c>
      <c r="AB116" s="110">
        <f t="shared" si="27"/>
        <v>0</v>
      </c>
      <c r="AC116" s="371" t="s">
        <v>163</v>
      </c>
      <c r="AD116" s="371" t="s">
        <v>148</v>
      </c>
      <c r="AE116" s="371" t="s">
        <v>149</v>
      </c>
      <c r="AF116" s="371"/>
    </row>
    <row r="117" spans="1:32" hidden="1" x14ac:dyDescent="0.2">
      <c r="A117" s="14" t="str">
        <f t="shared" si="28"/>
        <v/>
      </c>
      <c r="B117" s="262" t="s">
        <v>470</v>
      </c>
      <c r="C117" s="317"/>
      <c r="D117" s="266"/>
      <c r="E117" s="262">
        <v>36</v>
      </c>
      <c r="F117" s="287" t="s">
        <v>0</v>
      </c>
      <c r="G117" s="294">
        <v>0.375</v>
      </c>
      <c r="H117" s="15" t="s">
        <v>66</v>
      </c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7">
        <f t="shared" si="29"/>
        <v>0</v>
      </c>
      <c r="T117" s="7" t="s">
        <v>493</v>
      </c>
      <c r="U117" s="66">
        <f>23*AF$101</f>
        <v>69</v>
      </c>
      <c r="V117" s="86">
        <f t="shared" si="30"/>
        <v>0</v>
      </c>
      <c r="W117" s="35">
        <f>Rate!D$9</f>
        <v>38</v>
      </c>
      <c r="X117" s="110">
        <f t="shared" si="17"/>
        <v>0</v>
      </c>
      <c r="Y117" s="110">
        <f t="shared" si="18"/>
        <v>0</v>
      </c>
      <c r="Z117" s="110">
        <f t="shared" si="19"/>
        <v>0</v>
      </c>
      <c r="AA117" s="110">
        <f t="shared" si="31"/>
        <v>0</v>
      </c>
      <c r="AB117" s="110">
        <f t="shared" si="27"/>
        <v>0</v>
      </c>
      <c r="AC117" s="371" t="s">
        <v>163</v>
      </c>
      <c r="AD117" s="371" t="s">
        <v>148</v>
      </c>
      <c r="AE117" s="371" t="s">
        <v>149</v>
      </c>
      <c r="AF117" s="371"/>
    </row>
    <row r="118" spans="1:32" hidden="1" x14ac:dyDescent="0.2">
      <c r="A118" s="14" t="str">
        <f t="shared" si="28"/>
        <v/>
      </c>
      <c r="B118" s="262" t="s">
        <v>470</v>
      </c>
      <c r="C118" s="317"/>
      <c r="D118" s="266"/>
      <c r="E118" s="262">
        <v>48</v>
      </c>
      <c r="F118" s="287" t="s">
        <v>0</v>
      </c>
      <c r="G118" s="294">
        <v>0.375</v>
      </c>
      <c r="H118" s="15" t="s">
        <v>66</v>
      </c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7">
        <f t="shared" si="29"/>
        <v>0</v>
      </c>
      <c r="T118" s="7" t="s">
        <v>493</v>
      </c>
      <c r="U118" s="66">
        <f>54.5*AF$101</f>
        <v>163.5</v>
      </c>
      <c r="V118" s="86">
        <f t="shared" si="30"/>
        <v>0</v>
      </c>
      <c r="W118" s="35">
        <f>Rate!D$9</f>
        <v>38</v>
      </c>
      <c r="X118" s="110">
        <f t="shared" si="17"/>
        <v>0</v>
      </c>
      <c r="Y118" s="110">
        <f t="shared" si="18"/>
        <v>0</v>
      </c>
      <c r="Z118" s="110">
        <f t="shared" si="19"/>
        <v>0</v>
      </c>
      <c r="AA118" s="110">
        <f t="shared" si="31"/>
        <v>0</v>
      </c>
      <c r="AB118" s="110">
        <f t="shared" si="27"/>
        <v>0</v>
      </c>
      <c r="AC118" s="371" t="s">
        <v>163</v>
      </c>
      <c r="AD118" s="371" t="s">
        <v>148</v>
      </c>
      <c r="AE118" s="371" t="s">
        <v>149</v>
      </c>
      <c r="AF118" s="371"/>
    </row>
    <row r="119" spans="1:32" hidden="1" x14ac:dyDescent="0.2">
      <c r="A119" s="14" t="str">
        <f t="shared" si="28"/>
        <v/>
      </c>
      <c r="B119" s="262" t="s">
        <v>470</v>
      </c>
      <c r="C119" s="317"/>
      <c r="D119" s="266"/>
      <c r="E119" s="262">
        <v>1</v>
      </c>
      <c r="F119" s="287" t="s">
        <v>1</v>
      </c>
      <c r="G119" s="294">
        <v>0.17899999999999999</v>
      </c>
      <c r="H119" s="15" t="s">
        <v>66</v>
      </c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7">
        <f t="shared" si="29"/>
        <v>0</v>
      </c>
      <c r="T119" s="7" t="s">
        <v>493</v>
      </c>
      <c r="U119" s="66">
        <f>0.8*AF$101</f>
        <v>2.4000000000000004</v>
      </c>
      <c r="V119" s="86">
        <f t="shared" si="30"/>
        <v>0</v>
      </c>
      <c r="W119" s="35">
        <f>Rate!D$9</f>
        <v>38</v>
      </c>
      <c r="X119" s="110">
        <f t="shared" si="17"/>
        <v>0</v>
      </c>
      <c r="Y119" s="110">
        <f t="shared" si="18"/>
        <v>0</v>
      </c>
      <c r="Z119" s="110">
        <f t="shared" si="19"/>
        <v>0</v>
      </c>
      <c r="AA119" s="110">
        <f t="shared" si="31"/>
        <v>0</v>
      </c>
      <c r="AB119" s="110">
        <f t="shared" si="27"/>
        <v>0</v>
      </c>
      <c r="AC119" s="371" t="s">
        <v>163</v>
      </c>
      <c r="AD119" s="371" t="s">
        <v>148</v>
      </c>
      <c r="AE119" s="371" t="s">
        <v>149</v>
      </c>
      <c r="AF119" s="371"/>
    </row>
    <row r="120" spans="1:32" hidden="1" x14ac:dyDescent="0.2">
      <c r="A120" s="14" t="str">
        <f t="shared" si="28"/>
        <v/>
      </c>
      <c r="B120" s="262" t="s">
        <v>470</v>
      </c>
      <c r="C120" s="317"/>
      <c r="D120" s="266"/>
      <c r="E120" s="262">
        <v>1.5</v>
      </c>
      <c r="F120" s="287" t="s">
        <v>1</v>
      </c>
      <c r="G120" s="294">
        <v>0.2</v>
      </c>
      <c r="H120" s="15" t="s">
        <v>66</v>
      </c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7">
        <f t="shared" si="29"/>
        <v>0</v>
      </c>
      <c r="T120" s="7" t="s">
        <v>493</v>
      </c>
      <c r="U120" s="66">
        <f>0.9*AF$101</f>
        <v>2.7</v>
      </c>
      <c r="V120" s="86">
        <f t="shared" si="30"/>
        <v>0</v>
      </c>
      <c r="W120" s="35">
        <f>Rate!D$9</f>
        <v>38</v>
      </c>
      <c r="X120" s="110">
        <f t="shared" si="17"/>
        <v>0</v>
      </c>
      <c r="Y120" s="110">
        <f t="shared" si="18"/>
        <v>0</v>
      </c>
      <c r="Z120" s="110">
        <f t="shared" si="19"/>
        <v>0</v>
      </c>
      <c r="AA120" s="110">
        <f t="shared" si="31"/>
        <v>0</v>
      </c>
      <c r="AB120" s="110">
        <f t="shared" si="27"/>
        <v>0</v>
      </c>
      <c r="AC120" s="371" t="s">
        <v>163</v>
      </c>
      <c r="AD120" s="371" t="s">
        <v>148</v>
      </c>
      <c r="AE120" s="371" t="s">
        <v>149</v>
      </c>
      <c r="AF120" s="371"/>
    </row>
    <row r="121" spans="1:32" hidden="1" x14ac:dyDescent="0.2">
      <c r="A121" s="14" t="str">
        <f t="shared" si="28"/>
        <v/>
      </c>
      <c r="B121" s="262" t="s">
        <v>470</v>
      </c>
      <c r="C121" s="317"/>
      <c r="D121" s="266"/>
      <c r="E121" s="262">
        <v>2</v>
      </c>
      <c r="F121" s="287" t="s">
        <v>1</v>
      </c>
      <c r="G121" s="294">
        <v>0.218</v>
      </c>
      <c r="H121" s="15" t="s">
        <v>66</v>
      </c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7">
        <f t="shared" si="29"/>
        <v>0</v>
      </c>
      <c r="T121" s="7" t="s">
        <v>493</v>
      </c>
      <c r="U121" s="66">
        <f>1*AF$101</f>
        <v>3</v>
      </c>
      <c r="V121" s="86">
        <f t="shared" si="30"/>
        <v>0</v>
      </c>
      <c r="W121" s="35">
        <f>Rate!D$9</f>
        <v>38</v>
      </c>
      <c r="X121" s="110">
        <f t="shared" si="17"/>
        <v>0</v>
      </c>
      <c r="Y121" s="110">
        <f t="shared" si="18"/>
        <v>0</v>
      </c>
      <c r="Z121" s="110">
        <f t="shared" si="19"/>
        <v>0</v>
      </c>
      <c r="AA121" s="110">
        <f t="shared" si="31"/>
        <v>0</v>
      </c>
      <c r="AB121" s="110">
        <f t="shared" si="27"/>
        <v>0</v>
      </c>
      <c r="AC121" s="371" t="s">
        <v>163</v>
      </c>
      <c r="AD121" s="371" t="s">
        <v>148</v>
      </c>
      <c r="AE121" s="371" t="s">
        <v>149</v>
      </c>
      <c r="AF121" s="371"/>
    </row>
    <row r="122" spans="1:32" hidden="1" x14ac:dyDescent="0.2">
      <c r="A122" s="14" t="str">
        <f t="shared" si="28"/>
        <v/>
      </c>
      <c r="B122" s="262" t="s">
        <v>470</v>
      </c>
      <c r="C122" s="317"/>
      <c r="D122" s="266"/>
      <c r="E122" s="262">
        <v>3</v>
      </c>
      <c r="F122" s="287" t="s">
        <v>1</v>
      </c>
      <c r="G122" s="294">
        <v>0.3</v>
      </c>
      <c r="H122" s="15" t="s">
        <v>66</v>
      </c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7">
        <f t="shared" si="29"/>
        <v>0</v>
      </c>
      <c r="T122" s="7" t="s">
        <v>493</v>
      </c>
      <c r="U122" s="66">
        <f>1.4*AF$101</f>
        <v>4.1999999999999993</v>
      </c>
      <c r="V122" s="86">
        <f t="shared" si="30"/>
        <v>0</v>
      </c>
      <c r="W122" s="35">
        <f>Rate!D$9</f>
        <v>38</v>
      </c>
      <c r="X122" s="110">
        <f t="shared" si="17"/>
        <v>0</v>
      </c>
      <c r="Y122" s="110">
        <f t="shared" si="18"/>
        <v>0</v>
      </c>
      <c r="Z122" s="110">
        <f t="shared" si="19"/>
        <v>0</v>
      </c>
      <c r="AA122" s="110">
        <f t="shared" si="31"/>
        <v>0</v>
      </c>
      <c r="AB122" s="110">
        <f t="shared" si="27"/>
        <v>0</v>
      </c>
      <c r="AC122" s="371" t="s">
        <v>163</v>
      </c>
      <c r="AD122" s="371" t="s">
        <v>148</v>
      </c>
      <c r="AE122" s="371" t="s">
        <v>149</v>
      </c>
      <c r="AF122" s="371"/>
    </row>
    <row r="123" spans="1:32" hidden="1" x14ac:dyDescent="0.2">
      <c r="A123" s="14" t="str">
        <f t="shared" si="28"/>
        <v/>
      </c>
      <c r="B123" s="262" t="s">
        <v>470</v>
      </c>
      <c r="C123" s="317"/>
      <c r="D123" s="266"/>
      <c r="E123" s="262">
        <v>4</v>
      </c>
      <c r="F123" s="287" t="s">
        <v>1</v>
      </c>
      <c r="G123" s="294">
        <v>0.33700000000000002</v>
      </c>
      <c r="H123" s="15" t="s">
        <v>66</v>
      </c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7">
        <f t="shared" si="29"/>
        <v>0</v>
      </c>
      <c r="T123" s="7" t="s">
        <v>493</v>
      </c>
      <c r="U123" s="66">
        <f>1.8*AF$101</f>
        <v>5.4</v>
      </c>
      <c r="V123" s="86">
        <f t="shared" si="30"/>
        <v>0</v>
      </c>
      <c r="W123" s="35">
        <f>Rate!D$9</f>
        <v>38</v>
      </c>
      <c r="X123" s="110">
        <f t="shared" si="17"/>
        <v>0</v>
      </c>
      <c r="Y123" s="110">
        <f t="shared" si="18"/>
        <v>0</v>
      </c>
      <c r="Z123" s="110">
        <f t="shared" si="19"/>
        <v>0</v>
      </c>
      <c r="AA123" s="110">
        <f t="shared" si="31"/>
        <v>0</v>
      </c>
      <c r="AB123" s="110">
        <f t="shared" si="27"/>
        <v>0</v>
      </c>
      <c r="AC123" s="371" t="s">
        <v>163</v>
      </c>
      <c r="AD123" s="371" t="s">
        <v>148</v>
      </c>
      <c r="AE123" s="371" t="s">
        <v>149</v>
      </c>
      <c r="AF123" s="371"/>
    </row>
    <row r="124" spans="1:32" hidden="1" x14ac:dyDescent="0.2">
      <c r="A124" s="14" t="str">
        <f t="shared" si="28"/>
        <v/>
      </c>
      <c r="B124" s="262" t="s">
        <v>470</v>
      </c>
      <c r="C124" s="317"/>
      <c r="D124" s="266"/>
      <c r="E124" s="262">
        <v>6</v>
      </c>
      <c r="F124" s="287" t="s">
        <v>1</v>
      </c>
      <c r="G124" s="294">
        <v>0.432</v>
      </c>
      <c r="H124" s="15" t="s">
        <v>66</v>
      </c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7">
        <f t="shared" si="29"/>
        <v>0</v>
      </c>
      <c r="T124" s="7" t="s">
        <v>493</v>
      </c>
      <c r="U124" s="66">
        <f>2.5*AF$101</f>
        <v>7.5</v>
      </c>
      <c r="V124" s="86">
        <f t="shared" si="30"/>
        <v>0</v>
      </c>
      <c r="W124" s="35">
        <f>Rate!D$9</f>
        <v>38</v>
      </c>
      <c r="X124" s="110">
        <f t="shared" si="17"/>
        <v>0</v>
      </c>
      <c r="Y124" s="110">
        <f t="shared" si="18"/>
        <v>0</v>
      </c>
      <c r="Z124" s="110">
        <f t="shared" si="19"/>
        <v>0</v>
      </c>
      <c r="AA124" s="110">
        <f t="shared" si="31"/>
        <v>0</v>
      </c>
      <c r="AB124" s="110">
        <f t="shared" si="27"/>
        <v>0</v>
      </c>
      <c r="AC124" s="371" t="s">
        <v>163</v>
      </c>
      <c r="AD124" s="371" t="s">
        <v>148</v>
      </c>
      <c r="AE124" s="371" t="s">
        <v>149</v>
      </c>
      <c r="AF124" s="371"/>
    </row>
    <row r="125" spans="1:32" hidden="1" x14ac:dyDescent="0.2">
      <c r="A125" s="14" t="str">
        <f t="shared" si="28"/>
        <v/>
      </c>
      <c r="B125" s="262" t="s">
        <v>470</v>
      </c>
      <c r="C125" s="317"/>
      <c r="D125" s="266"/>
      <c r="E125" s="262">
        <v>8</v>
      </c>
      <c r="F125" s="287" t="s">
        <v>1</v>
      </c>
      <c r="G125" s="294">
        <v>0.5</v>
      </c>
      <c r="H125" s="15" t="s">
        <v>66</v>
      </c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7">
        <f t="shared" si="29"/>
        <v>0</v>
      </c>
      <c r="T125" s="7" t="s">
        <v>493</v>
      </c>
      <c r="U125" s="66">
        <f>3.3*AF$101</f>
        <v>9.8999999999999986</v>
      </c>
      <c r="V125" s="86">
        <f t="shared" si="30"/>
        <v>0</v>
      </c>
      <c r="W125" s="35">
        <f>Rate!D$9</f>
        <v>38</v>
      </c>
      <c r="X125" s="110">
        <f t="shared" si="17"/>
        <v>0</v>
      </c>
      <c r="Y125" s="110">
        <f t="shared" si="18"/>
        <v>0</v>
      </c>
      <c r="Z125" s="110">
        <f t="shared" si="19"/>
        <v>0</v>
      </c>
      <c r="AA125" s="110">
        <f t="shared" si="31"/>
        <v>0</v>
      </c>
      <c r="AB125" s="110">
        <f t="shared" si="27"/>
        <v>0</v>
      </c>
      <c r="AC125" s="371" t="s">
        <v>163</v>
      </c>
      <c r="AD125" s="371" t="s">
        <v>148</v>
      </c>
      <c r="AE125" s="371" t="s">
        <v>149</v>
      </c>
      <c r="AF125" s="371"/>
    </row>
    <row r="126" spans="1:32" hidden="1" x14ac:dyDescent="0.2">
      <c r="A126" s="14" t="str">
        <f t="shared" si="28"/>
        <v/>
      </c>
      <c r="B126" s="262" t="s">
        <v>470</v>
      </c>
      <c r="C126" s="317"/>
      <c r="D126" s="266"/>
      <c r="E126" s="262">
        <v>10</v>
      </c>
      <c r="F126" s="287" t="s">
        <v>1</v>
      </c>
      <c r="G126" s="294">
        <v>0.5</v>
      </c>
      <c r="H126" s="15" t="s">
        <v>66</v>
      </c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7">
        <f t="shared" si="29"/>
        <v>0</v>
      </c>
      <c r="T126" s="7" t="s">
        <v>493</v>
      </c>
      <c r="U126" s="66">
        <f>4*AF$101</f>
        <v>12</v>
      </c>
      <c r="V126" s="86">
        <f t="shared" si="30"/>
        <v>0</v>
      </c>
      <c r="W126" s="35">
        <f>Rate!D$9</f>
        <v>38</v>
      </c>
      <c r="X126" s="110">
        <f t="shared" si="17"/>
        <v>0</v>
      </c>
      <c r="Y126" s="110">
        <f t="shared" si="18"/>
        <v>0</v>
      </c>
      <c r="Z126" s="110">
        <f t="shared" si="19"/>
        <v>0</v>
      </c>
      <c r="AA126" s="110">
        <f t="shared" si="31"/>
        <v>0</v>
      </c>
      <c r="AB126" s="110">
        <f t="shared" si="27"/>
        <v>0</v>
      </c>
      <c r="AC126" s="371" t="s">
        <v>163</v>
      </c>
      <c r="AD126" s="371" t="s">
        <v>148</v>
      </c>
      <c r="AE126" s="371" t="s">
        <v>149</v>
      </c>
      <c r="AF126" s="371"/>
    </row>
    <row r="127" spans="1:32" hidden="1" x14ac:dyDescent="0.2">
      <c r="A127" s="14" t="str">
        <f t="shared" si="28"/>
        <v/>
      </c>
      <c r="B127" s="262" t="s">
        <v>470</v>
      </c>
      <c r="C127" s="317"/>
      <c r="D127" s="266"/>
      <c r="E127" s="262">
        <v>12</v>
      </c>
      <c r="F127" s="287" t="s">
        <v>1</v>
      </c>
      <c r="G127" s="294">
        <v>0.5</v>
      </c>
      <c r="H127" s="15" t="s">
        <v>66</v>
      </c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7">
        <f t="shared" si="29"/>
        <v>0</v>
      </c>
      <c r="T127" s="7" t="s">
        <v>493</v>
      </c>
      <c r="U127" s="66">
        <f>4.7*AF$101</f>
        <v>14.100000000000001</v>
      </c>
      <c r="V127" s="86">
        <f t="shared" si="30"/>
        <v>0</v>
      </c>
      <c r="W127" s="35">
        <f>Rate!D$9</f>
        <v>38</v>
      </c>
      <c r="X127" s="110">
        <f t="shared" si="17"/>
        <v>0</v>
      </c>
      <c r="Y127" s="110">
        <f t="shared" si="18"/>
        <v>0</v>
      </c>
      <c r="Z127" s="110">
        <f t="shared" si="19"/>
        <v>0</v>
      </c>
      <c r="AA127" s="110">
        <f t="shared" si="31"/>
        <v>0</v>
      </c>
      <c r="AB127" s="110">
        <f t="shared" si="27"/>
        <v>0</v>
      </c>
      <c r="AC127" s="371" t="s">
        <v>163</v>
      </c>
      <c r="AD127" s="371" t="s">
        <v>148</v>
      </c>
      <c r="AE127" s="371" t="s">
        <v>149</v>
      </c>
      <c r="AF127" s="371"/>
    </row>
    <row r="128" spans="1:32" hidden="1" x14ac:dyDescent="0.2">
      <c r="A128" s="14" t="str">
        <f t="shared" si="28"/>
        <v/>
      </c>
      <c r="B128" s="262" t="s">
        <v>470</v>
      </c>
      <c r="C128" s="317"/>
      <c r="D128" s="266"/>
      <c r="E128" s="262">
        <v>14</v>
      </c>
      <c r="F128" s="287" t="s">
        <v>1</v>
      </c>
      <c r="G128" s="294">
        <v>0.5</v>
      </c>
      <c r="H128" s="15" t="s">
        <v>66</v>
      </c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7">
        <f t="shared" si="29"/>
        <v>0</v>
      </c>
      <c r="T128" s="7" t="s">
        <v>493</v>
      </c>
      <c r="U128" s="66">
        <f>5.7*AF$101</f>
        <v>17.100000000000001</v>
      </c>
      <c r="V128" s="86">
        <f t="shared" si="30"/>
        <v>0</v>
      </c>
      <c r="W128" s="35">
        <f>Rate!D$9</f>
        <v>38</v>
      </c>
      <c r="X128" s="110">
        <f t="shared" si="17"/>
        <v>0</v>
      </c>
      <c r="Y128" s="110">
        <f t="shared" si="18"/>
        <v>0</v>
      </c>
      <c r="Z128" s="110">
        <f t="shared" si="19"/>
        <v>0</v>
      </c>
      <c r="AA128" s="110">
        <f t="shared" si="31"/>
        <v>0</v>
      </c>
      <c r="AB128" s="110">
        <f t="shared" si="27"/>
        <v>0</v>
      </c>
      <c r="AC128" s="371" t="s">
        <v>163</v>
      </c>
      <c r="AD128" s="371" t="s">
        <v>148</v>
      </c>
      <c r="AE128" s="371" t="s">
        <v>149</v>
      </c>
      <c r="AF128" s="371"/>
    </row>
    <row r="129" spans="1:32" hidden="1" x14ac:dyDescent="0.2">
      <c r="A129" s="14" t="str">
        <f t="shared" si="28"/>
        <v/>
      </c>
      <c r="B129" s="262" t="s">
        <v>470</v>
      </c>
      <c r="C129" s="317"/>
      <c r="D129" s="266"/>
      <c r="E129" s="262">
        <v>16</v>
      </c>
      <c r="F129" s="287" t="s">
        <v>1</v>
      </c>
      <c r="G129" s="294">
        <v>0.5</v>
      </c>
      <c r="H129" s="15" t="s">
        <v>66</v>
      </c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7">
        <f t="shared" si="29"/>
        <v>0</v>
      </c>
      <c r="T129" s="7" t="s">
        <v>493</v>
      </c>
      <c r="U129" s="66">
        <f>6.6*AF$101</f>
        <v>19.799999999999997</v>
      </c>
      <c r="V129" s="86">
        <f t="shared" si="30"/>
        <v>0</v>
      </c>
      <c r="W129" s="35">
        <f>Rate!D$9</f>
        <v>38</v>
      </c>
      <c r="X129" s="110">
        <f t="shared" ref="X129:X190" si="32">IF(H129="L",V129*W129,0)</f>
        <v>0</v>
      </c>
      <c r="Y129" s="110">
        <f t="shared" ref="Y129:Y190" si="33">IF(H129="M",S129*W129,0)</f>
        <v>0</v>
      </c>
      <c r="Z129" s="110">
        <f t="shared" ref="Z129:Z190" si="34">IF(H129="S",S129*W129,0)</f>
        <v>0</v>
      </c>
      <c r="AA129" s="110">
        <f t="shared" si="31"/>
        <v>0</v>
      </c>
      <c r="AB129" s="110">
        <f t="shared" si="27"/>
        <v>0</v>
      </c>
      <c r="AC129" s="371" t="s">
        <v>163</v>
      </c>
      <c r="AD129" s="371" t="s">
        <v>148</v>
      </c>
      <c r="AE129" s="371" t="s">
        <v>149</v>
      </c>
      <c r="AF129" s="371"/>
    </row>
    <row r="130" spans="1:32" hidden="1" x14ac:dyDescent="0.2">
      <c r="A130" s="14" t="str">
        <f t="shared" si="28"/>
        <v/>
      </c>
      <c r="B130" s="262" t="s">
        <v>470</v>
      </c>
      <c r="C130" s="317"/>
      <c r="D130" s="266"/>
      <c r="E130" s="262">
        <v>18</v>
      </c>
      <c r="F130" s="287" t="s">
        <v>1</v>
      </c>
      <c r="G130" s="294">
        <v>0.5</v>
      </c>
      <c r="H130" s="15" t="s">
        <v>66</v>
      </c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7">
        <f t="shared" si="29"/>
        <v>0</v>
      </c>
      <c r="T130" s="7" t="s">
        <v>493</v>
      </c>
      <c r="U130" s="66">
        <f>7.7*AF$101</f>
        <v>23.1</v>
      </c>
      <c r="V130" s="86">
        <f t="shared" si="30"/>
        <v>0</v>
      </c>
      <c r="W130" s="35">
        <f>Rate!D$9</f>
        <v>38</v>
      </c>
      <c r="X130" s="110">
        <f t="shared" si="32"/>
        <v>0</v>
      </c>
      <c r="Y130" s="110">
        <f t="shared" si="33"/>
        <v>0</v>
      </c>
      <c r="Z130" s="110">
        <f t="shared" si="34"/>
        <v>0</v>
      </c>
      <c r="AA130" s="110">
        <f t="shared" si="31"/>
        <v>0</v>
      </c>
      <c r="AB130" s="110">
        <f t="shared" si="27"/>
        <v>0</v>
      </c>
      <c r="AC130" s="371" t="s">
        <v>163</v>
      </c>
      <c r="AD130" s="371" t="s">
        <v>148</v>
      </c>
      <c r="AE130" s="371" t="s">
        <v>149</v>
      </c>
      <c r="AF130" s="371"/>
    </row>
    <row r="131" spans="1:32" hidden="1" x14ac:dyDescent="0.2">
      <c r="A131" s="14" t="str">
        <f t="shared" si="28"/>
        <v/>
      </c>
      <c r="B131" s="262" t="s">
        <v>470</v>
      </c>
      <c r="C131" s="317"/>
      <c r="D131" s="266"/>
      <c r="E131" s="262">
        <v>20</v>
      </c>
      <c r="F131" s="287" t="s">
        <v>1</v>
      </c>
      <c r="G131" s="294">
        <v>0.5</v>
      </c>
      <c r="H131" s="15" t="s">
        <v>66</v>
      </c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7">
        <f t="shared" si="29"/>
        <v>0</v>
      </c>
      <c r="T131" s="7" t="s">
        <v>493</v>
      </c>
      <c r="U131" s="66">
        <f>8.4*AF$101</f>
        <v>25.200000000000003</v>
      </c>
      <c r="V131" s="86">
        <f t="shared" si="30"/>
        <v>0</v>
      </c>
      <c r="W131" s="35">
        <f>Rate!D$9</f>
        <v>38</v>
      </c>
      <c r="X131" s="110">
        <f t="shared" si="32"/>
        <v>0</v>
      </c>
      <c r="Y131" s="110">
        <f t="shared" si="33"/>
        <v>0</v>
      </c>
      <c r="Z131" s="110">
        <f t="shared" si="34"/>
        <v>0</v>
      </c>
      <c r="AA131" s="110">
        <f t="shared" si="31"/>
        <v>0</v>
      </c>
      <c r="AB131" s="110">
        <f t="shared" si="27"/>
        <v>0</v>
      </c>
      <c r="AC131" s="371" t="s">
        <v>163</v>
      </c>
      <c r="AD131" s="371" t="s">
        <v>148</v>
      </c>
      <c r="AE131" s="371" t="s">
        <v>149</v>
      </c>
      <c r="AF131" s="371"/>
    </row>
    <row r="132" spans="1:32" hidden="1" x14ac:dyDescent="0.2">
      <c r="A132" s="14" t="str">
        <f t="shared" si="28"/>
        <v/>
      </c>
      <c r="B132" s="262" t="s">
        <v>470</v>
      </c>
      <c r="C132" s="317"/>
      <c r="D132" s="266"/>
      <c r="E132" s="262">
        <v>24</v>
      </c>
      <c r="F132" s="287" t="s">
        <v>1</v>
      </c>
      <c r="G132" s="294">
        <v>0.5</v>
      </c>
      <c r="H132" s="15" t="s">
        <v>66</v>
      </c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7">
        <f t="shared" si="29"/>
        <v>0</v>
      </c>
      <c r="T132" s="7" t="s">
        <v>493</v>
      </c>
      <c r="U132" s="66">
        <f>10.1*AF$101</f>
        <v>30.299999999999997</v>
      </c>
      <c r="V132" s="86">
        <f t="shared" si="30"/>
        <v>0</v>
      </c>
      <c r="W132" s="35">
        <f>Rate!D$9</f>
        <v>38</v>
      </c>
      <c r="X132" s="110">
        <f t="shared" si="32"/>
        <v>0</v>
      </c>
      <c r="Y132" s="110">
        <f t="shared" si="33"/>
        <v>0</v>
      </c>
      <c r="Z132" s="110">
        <f t="shared" si="34"/>
        <v>0</v>
      </c>
      <c r="AA132" s="110">
        <f t="shared" si="31"/>
        <v>0</v>
      </c>
      <c r="AB132" s="110">
        <f t="shared" si="27"/>
        <v>0</v>
      </c>
      <c r="AC132" s="371" t="s">
        <v>163</v>
      </c>
      <c r="AD132" s="371" t="s">
        <v>148</v>
      </c>
      <c r="AE132" s="371" t="s">
        <v>149</v>
      </c>
      <c r="AF132" s="371"/>
    </row>
    <row r="133" spans="1:32" hidden="1" x14ac:dyDescent="0.2">
      <c r="A133" s="14" t="str">
        <f t="shared" si="28"/>
        <v/>
      </c>
      <c r="B133" s="262" t="s">
        <v>470</v>
      </c>
      <c r="C133" s="317"/>
      <c r="D133" s="266"/>
      <c r="E133" s="262">
        <v>30</v>
      </c>
      <c r="F133" s="287" t="s">
        <v>1</v>
      </c>
      <c r="G133" s="294">
        <v>0.5</v>
      </c>
      <c r="H133" s="15" t="s">
        <v>66</v>
      </c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7">
        <f t="shared" si="29"/>
        <v>0</v>
      </c>
      <c r="T133" s="7" t="s">
        <v>493</v>
      </c>
      <c r="U133" s="66">
        <f>15.2*AF$101</f>
        <v>45.599999999999994</v>
      </c>
      <c r="V133" s="86">
        <f t="shared" si="30"/>
        <v>0</v>
      </c>
      <c r="W133" s="35">
        <f>Rate!D$9</f>
        <v>38</v>
      </c>
      <c r="X133" s="110">
        <f t="shared" si="32"/>
        <v>0</v>
      </c>
      <c r="Y133" s="110">
        <f t="shared" si="33"/>
        <v>0</v>
      </c>
      <c r="Z133" s="110">
        <f t="shared" si="34"/>
        <v>0</v>
      </c>
      <c r="AA133" s="110">
        <f t="shared" si="31"/>
        <v>0</v>
      </c>
      <c r="AB133" s="110">
        <f t="shared" ref="AB133:AB177" si="35">SUM(X133:AA133)</f>
        <v>0</v>
      </c>
      <c r="AC133" s="371" t="s">
        <v>163</v>
      </c>
      <c r="AD133" s="371" t="s">
        <v>148</v>
      </c>
      <c r="AE133" s="371" t="s">
        <v>149</v>
      </c>
      <c r="AF133" s="371"/>
    </row>
    <row r="134" spans="1:32" hidden="1" x14ac:dyDescent="0.2">
      <c r="A134" s="14" t="str">
        <f t="shared" ref="A134:A165" si="36">+IF(AB134&lt;&gt;0,"X","")</f>
        <v/>
      </c>
      <c r="B134" s="262" t="s">
        <v>470</v>
      </c>
      <c r="C134" s="317"/>
      <c r="D134" s="266"/>
      <c r="E134" s="262">
        <v>36</v>
      </c>
      <c r="F134" s="287" t="s">
        <v>1</v>
      </c>
      <c r="G134" s="294">
        <v>0.5</v>
      </c>
      <c r="H134" s="15" t="s">
        <v>66</v>
      </c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7">
        <f t="shared" ref="S134:S178" si="37">SUM(I134:R134)</f>
        <v>0</v>
      </c>
      <c r="T134" s="7" t="s">
        <v>493</v>
      </c>
      <c r="U134" s="66">
        <f>24.7*AF$101</f>
        <v>74.099999999999994</v>
      </c>
      <c r="V134" s="86">
        <f t="shared" ref="V134:V165" si="38">+S134*U134</f>
        <v>0</v>
      </c>
      <c r="W134" s="35">
        <f>Rate!D$9</f>
        <v>38</v>
      </c>
      <c r="X134" s="110">
        <f t="shared" si="32"/>
        <v>0</v>
      </c>
      <c r="Y134" s="110">
        <f t="shared" si="33"/>
        <v>0</v>
      </c>
      <c r="Z134" s="110">
        <f t="shared" si="34"/>
        <v>0</v>
      </c>
      <c r="AA134" s="110">
        <f t="shared" ref="AA134:AA168" si="39">IF(H134="E",B134*S134*W134,0)</f>
        <v>0</v>
      </c>
      <c r="AB134" s="110">
        <f t="shared" si="35"/>
        <v>0</v>
      </c>
      <c r="AC134" s="371" t="s">
        <v>163</v>
      </c>
      <c r="AD134" s="371" t="s">
        <v>148</v>
      </c>
      <c r="AE134" s="371" t="s">
        <v>149</v>
      </c>
      <c r="AF134" s="371"/>
    </row>
    <row r="135" spans="1:32" hidden="1" x14ac:dyDescent="0.2">
      <c r="A135" s="14" t="str">
        <f t="shared" si="36"/>
        <v/>
      </c>
      <c r="B135" s="262" t="s">
        <v>470</v>
      </c>
      <c r="C135" s="317"/>
      <c r="D135" s="266"/>
      <c r="E135" s="262">
        <v>48</v>
      </c>
      <c r="F135" s="287" t="s">
        <v>1</v>
      </c>
      <c r="G135" s="294">
        <v>0.5</v>
      </c>
      <c r="H135" s="15" t="s">
        <v>66</v>
      </c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7">
        <f t="shared" si="37"/>
        <v>0</v>
      </c>
      <c r="T135" s="7" t="s">
        <v>493</v>
      </c>
      <c r="U135" s="66">
        <f>59.9*AF$101</f>
        <v>179.7</v>
      </c>
      <c r="V135" s="86">
        <f t="shared" si="38"/>
        <v>0</v>
      </c>
      <c r="W135" s="35">
        <f>Rate!D$9</f>
        <v>38</v>
      </c>
      <c r="X135" s="110">
        <f t="shared" si="32"/>
        <v>0</v>
      </c>
      <c r="Y135" s="110">
        <f t="shared" si="33"/>
        <v>0</v>
      </c>
      <c r="Z135" s="110">
        <f t="shared" si="34"/>
        <v>0</v>
      </c>
      <c r="AA135" s="110">
        <f t="shared" si="39"/>
        <v>0</v>
      </c>
      <c r="AB135" s="110">
        <f t="shared" si="35"/>
        <v>0</v>
      </c>
      <c r="AC135" s="371" t="s">
        <v>163</v>
      </c>
      <c r="AD135" s="371" t="s">
        <v>148</v>
      </c>
      <c r="AE135" s="371" t="s">
        <v>149</v>
      </c>
      <c r="AF135" s="371"/>
    </row>
    <row r="136" spans="1:32" hidden="1" x14ac:dyDescent="0.2">
      <c r="A136" s="14" t="str">
        <f t="shared" si="36"/>
        <v/>
      </c>
      <c r="B136" s="262" t="s">
        <v>470</v>
      </c>
      <c r="C136" s="318"/>
      <c r="D136" s="267"/>
      <c r="E136" s="278">
        <v>12</v>
      </c>
      <c r="F136" s="288">
        <v>40</v>
      </c>
      <c r="G136" s="295">
        <v>0.40600000000000003</v>
      </c>
      <c r="H136" s="15" t="s">
        <v>66</v>
      </c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7">
        <f t="shared" si="37"/>
        <v>0</v>
      </c>
      <c r="T136" s="7" t="s">
        <v>493</v>
      </c>
      <c r="U136" s="66">
        <f>3.82*AF$101</f>
        <v>11.459999999999999</v>
      </c>
      <c r="V136" s="86">
        <f t="shared" si="38"/>
        <v>0</v>
      </c>
      <c r="W136" s="35">
        <f>Rate!D$9</f>
        <v>38</v>
      </c>
      <c r="X136" s="110">
        <f t="shared" si="32"/>
        <v>0</v>
      </c>
      <c r="Y136" s="110">
        <f t="shared" si="33"/>
        <v>0</v>
      </c>
      <c r="Z136" s="110">
        <f t="shared" si="34"/>
        <v>0</v>
      </c>
      <c r="AA136" s="110">
        <f t="shared" si="39"/>
        <v>0</v>
      </c>
      <c r="AB136" s="110">
        <f t="shared" ref="AB136:AB148" si="40">SUM(X136:AA136)</f>
        <v>0</v>
      </c>
      <c r="AC136" s="371" t="s">
        <v>163</v>
      </c>
      <c r="AD136" s="371" t="s">
        <v>148</v>
      </c>
      <c r="AE136" s="371" t="s">
        <v>149</v>
      </c>
      <c r="AF136" s="371"/>
    </row>
    <row r="137" spans="1:32" hidden="1" x14ac:dyDescent="0.2">
      <c r="A137" s="14" t="str">
        <f t="shared" si="36"/>
        <v/>
      </c>
      <c r="B137" s="262" t="s">
        <v>470</v>
      </c>
      <c r="C137" s="318"/>
      <c r="D137" s="267"/>
      <c r="E137" s="278">
        <v>14</v>
      </c>
      <c r="F137" s="288">
        <v>40</v>
      </c>
      <c r="G137" s="295">
        <v>0.437</v>
      </c>
      <c r="H137" s="15" t="s">
        <v>66</v>
      </c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7">
        <f t="shared" si="37"/>
        <v>0</v>
      </c>
      <c r="T137" s="7" t="s">
        <v>493</v>
      </c>
      <c r="U137" s="66">
        <f>4.99*AF$101</f>
        <v>14.97</v>
      </c>
      <c r="V137" s="86">
        <f t="shared" si="38"/>
        <v>0</v>
      </c>
      <c r="W137" s="35">
        <f>Rate!D$9</f>
        <v>38</v>
      </c>
      <c r="X137" s="110">
        <f t="shared" si="32"/>
        <v>0</v>
      </c>
      <c r="Y137" s="110">
        <f t="shared" si="33"/>
        <v>0</v>
      </c>
      <c r="Z137" s="110">
        <f t="shared" si="34"/>
        <v>0</v>
      </c>
      <c r="AA137" s="110">
        <f t="shared" si="39"/>
        <v>0</v>
      </c>
      <c r="AB137" s="110">
        <f t="shared" si="40"/>
        <v>0</v>
      </c>
      <c r="AC137" s="371" t="s">
        <v>163</v>
      </c>
      <c r="AD137" s="371" t="s">
        <v>148</v>
      </c>
      <c r="AE137" s="371" t="s">
        <v>149</v>
      </c>
      <c r="AF137" s="371"/>
    </row>
    <row r="138" spans="1:32" hidden="1" x14ac:dyDescent="0.2">
      <c r="A138" s="14" t="str">
        <f t="shared" si="36"/>
        <v/>
      </c>
      <c r="B138" s="262" t="s">
        <v>470</v>
      </c>
      <c r="C138" s="318"/>
      <c r="D138" s="267"/>
      <c r="E138" s="278">
        <v>16</v>
      </c>
      <c r="F138" s="288">
        <v>40</v>
      </c>
      <c r="G138" s="295">
        <v>0.5</v>
      </c>
      <c r="H138" s="15" t="s">
        <v>66</v>
      </c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7">
        <f t="shared" si="37"/>
        <v>0</v>
      </c>
      <c r="T138" s="7" t="s">
        <v>493</v>
      </c>
      <c r="U138" s="66">
        <f>6.6*AF$101</f>
        <v>19.799999999999997</v>
      </c>
      <c r="V138" s="86">
        <f t="shared" si="38"/>
        <v>0</v>
      </c>
      <c r="W138" s="35">
        <f>Rate!D$9</f>
        <v>38</v>
      </c>
      <c r="X138" s="110">
        <f t="shared" si="32"/>
        <v>0</v>
      </c>
      <c r="Y138" s="110">
        <f t="shared" si="33"/>
        <v>0</v>
      </c>
      <c r="Z138" s="110">
        <f t="shared" si="34"/>
        <v>0</v>
      </c>
      <c r="AA138" s="110">
        <f t="shared" si="39"/>
        <v>0</v>
      </c>
      <c r="AB138" s="110">
        <f t="shared" si="40"/>
        <v>0</v>
      </c>
      <c r="AC138" s="371" t="s">
        <v>163</v>
      </c>
      <c r="AD138" s="371" t="s">
        <v>148</v>
      </c>
      <c r="AE138" s="371" t="s">
        <v>149</v>
      </c>
      <c r="AF138" s="371"/>
    </row>
    <row r="139" spans="1:32" hidden="1" x14ac:dyDescent="0.2">
      <c r="A139" s="14" t="str">
        <f t="shared" si="36"/>
        <v/>
      </c>
      <c r="B139" s="262" t="s">
        <v>470</v>
      </c>
      <c r="C139" s="318"/>
      <c r="D139" s="267"/>
      <c r="E139" s="278">
        <v>18</v>
      </c>
      <c r="F139" s="288">
        <v>40</v>
      </c>
      <c r="G139" s="295">
        <v>0.56200000000000006</v>
      </c>
      <c r="H139" s="15" t="s">
        <v>66</v>
      </c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7">
        <f t="shared" si="37"/>
        <v>0</v>
      </c>
      <c r="T139" s="7" t="s">
        <v>493</v>
      </c>
      <c r="U139" s="66">
        <f>8.66*AF$101</f>
        <v>25.98</v>
      </c>
      <c r="V139" s="86">
        <f t="shared" si="38"/>
        <v>0</v>
      </c>
      <c r="W139" s="35">
        <f>Rate!D$9</f>
        <v>38</v>
      </c>
      <c r="X139" s="110">
        <f t="shared" si="32"/>
        <v>0</v>
      </c>
      <c r="Y139" s="110">
        <f t="shared" si="33"/>
        <v>0</v>
      </c>
      <c r="Z139" s="110">
        <f t="shared" si="34"/>
        <v>0</v>
      </c>
      <c r="AA139" s="110">
        <f t="shared" si="39"/>
        <v>0</v>
      </c>
      <c r="AB139" s="110">
        <f t="shared" si="40"/>
        <v>0</v>
      </c>
      <c r="AC139" s="371" t="s">
        <v>163</v>
      </c>
      <c r="AD139" s="371" t="s">
        <v>148</v>
      </c>
      <c r="AE139" s="371" t="s">
        <v>149</v>
      </c>
      <c r="AF139" s="371"/>
    </row>
    <row r="140" spans="1:32" hidden="1" x14ac:dyDescent="0.2">
      <c r="A140" s="14" t="str">
        <f t="shared" si="36"/>
        <v/>
      </c>
      <c r="B140" s="262" t="s">
        <v>470</v>
      </c>
      <c r="C140" s="318"/>
      <c r="D140" s="267"/>
      <c r="E140" s="278">
        <v>20</v>
      </c>
      <c r="F140" s="288">
        <v>40</v>
      </c>
      <c r="G140" s="295">
        <v>0.59299999999999997</v>
      </c>
      <c r="H140" s="15" t="s">
        <v>66</v>
      </c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7">
        <f t="shared" si="37"/>
        <v>0</v>
      </c>
      <c r="T140" s="7" t="s">
        <v>493</v>
      </c>
      <c r="U140" s="66">
        <f>9.97*AF$101</f>
        <v>29.910000000000004</v>
      </c>
      <c r="V140" s="86">
        <f t="shared" si="38"/>
        <v>0</v>
      </c>
      <c r="W140" s="35">
        <f>Rate!D$9</f>
        <v>38</v>
      </c>
      <c r="X140" s="110">
        <f t="shared" si="32"/>
        <v>0</v>
      </c>
      <c r="Y140" s="110">
        <f t="shared" si="33"/>
        <v>0</v>
      </c>
      <c r="Z140" s="110">
        <f t="shared" si="34"/>
        <v>0</v>
      </c>
      <c r="AA140" s="110">
        <f t="shared" si="39"/>
        <v>0</v>
      </c>
      <c r="AB140" s="110">
        <f t="shared" si="40"/>
        <v>0</v>
      </c>
      <c r="AC140" s="371" t="s">
        <v>163</v>
      </c>
      <c r="AD140" s="371" t="s">
        <v>148</v>
      </c>
      <c r="AE140" s="371" t="s">
        <v>149</v>
      </c>
      <c r="AF140" s="371"/>
    </row>
    <row r="141" spans="1:32" hidden="1" x14ac:dyDescent="0.2">
      <c r="A141" s="14" t="str">
        <f t="shared" si="36"/>
        <v/>
      </c>
      <c r="B141" s="262" t="s">
        <v>470</v>
      </c>
      <c r="C141" s="318"/>
      <c r="D141" s="267"/>
      <c r="E141" s="278">
        <v>24</v>
      </c>
      <c r="F141" s="288">
        <v>40</v>
      </c>
      <c r="G141" s="295">
        <v>0.68700000000000006</v>
      </c>
      <c r="H141" s="15" t="s">
        <v>66</v>
      </c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7">
        <f t="shared" si="37"/>
        <v>0</v>
      </c>
      <c r="T141" s="7" t="s">
        <v>493</v>
      </c>
      <c r="U141" s="66">
        <f>13.88*AF$101</f>
        <v>41.64</v>
      </c>
      <c r="V141" s="86">
        <f t="shared" si="38"/>
        <v>0</v>
      </c>
      <c r="W141" s="35">
        <f>Rate!D$9</f>
        <v>38</v>
      </c>
      <c r="X141" s="110">
        <f t="shared" si="32"/>
        <v>0</v>
      </c>
      <c r="Y141" s="110">
        <f t="shared" si="33"/>
        <v>0</v>
      </c>
      <c r="Z141" s="110">
        <f t="shared" si="34"/>
        <v>0</v>
      </c>
      <c r="AA141" s="110">
        <f t="shared" si="39"/>
        <v>0</v>
      </c>
      <c r="AB141" s="110">
        <f t="shared" si="40"/>
        <v>0</v>
      </c>
      <c r="AC141" s="371" t="s">
        <v>163</v>
      </c>
      <c r="AD141" s="371" t="s">
        <v>148</v>
      </c>
      <c r="AE141" s="371" t="s">
        <v>149</v>
      </c>
      <c r="AF141" s="371"/>
    </row>
    <row r="142" spans="1:32" hidden="1" x14ac:dyDescent="0.2">
      <c r="A142" s="14" t="str">
        <f t="shared" si="36"/>
        <v/>
      </c>
      <c r="B142" s="262" t="s">
        <v>470</v>
      </c>
      <c r="C142" s="318"/>
      <c r="D142" s="267"/>
      <c r="E142" s="278">
        <v>10</v>
      </c>
      <c r="F142" s="288">
        <v>80</v>
      </c>
      <c r="G142" s="295">
        <v>0.59299999999999997</v>
      </c>
      <c r="H142" s="15" t="s">
        <v>66</v>
      </c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7">
        <f t="shared" si="37"/>
        <v>0</v>
      </c>
      <c r="T142" s="7" t="s">
        <v>493</v>
      </c>
      <c r="U142" s="66">
        <f>4.75*AF$101</f>
        <v>14.25</v>
      </c>
      <c r="V142" s="86">
        <f t="shared" si="38"/>
        <v>0</v>
      </c>
      <c r="W142" s="35">
        <f>Rate!D$9</f>
        <v>38</v>
      </c>
      <c r="X142" s="110">
        <f t="shared" si="32"/>
        <v>0</v>
      </c>
      <c r="Y142" s="110">
        <f t="shared" si="33"/>
        <v>0</v>
      </c>
      <c r="Z142" s="110">
        <f t="shared" si="34"/>
        <v>0</v>
      </c>
      <c r="AA142" s="110">
        <f t="shared" si="39"/>
        <v>0</v>
      </c>
      <c r="AB142" s="110">
        <f t="shared" si="40"/>
        <v>0</v>
      </c>
      <c r="AC142" s="371" t="s">
        <v>163</v>
      </c>
      <c r="AD142" s="371" t="s">
        <v>148</v>
      </c>
      <c r="AE142" s="371" t="s">
        <v>149</v>
      </c>
      <c r="AF142" s="371"/>
    </row>
    <row r="143" spans="1:32" hidden="1" x14ac:dyDescent="0.2">
      <c r="A143" s="14" t="str">
        <f t="shared" si="36"/>
        <v/>
      </c>
      <c r="B143" s="262" t="s">
        <v>470</v>
      </c>
      <c r="C143" s="318"/>
      <c r="D143" s="267"/>
      <c r="E143" s="278">
        <v>12</v>
      </c>
      <c r="F143" s="288">
        <v>80</v>
      </c>
      <c r="G143" s="295">
        <v>0.68700000000000006</v>
      </c>
      <c r="H143" s="15" t="s">
        <v>66</v>
      </c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7">
        <f t="shared" si="37"/>
        <v>0</v>
      </c>
      <c r="T143" s="7" t="s">
        <v>493</v>
      </c>
      <c r="U143" s="66">
        <f>6.46*AF$101</f>
        <v>19.38</v>
      </c>
      <c r="V143" s="86">
        <f t="shared" si="38"/>
        <v>0</v>
      </c>
      <c r="W143" s="35">
        <f>Rate!D$9</f>
        <v>38</v>
      </c>
      <c r="X143" s="110">
        <f t="shared" si="32"/>
        <v>0</v>
      </c>
      <c r="Y143" s="110">
        <f t="shared" si="33"/>
        <v>0</v>
      </c>
      <c r="Z143" s="110">
        <f t="shared" si="34"/>
        <v>0</v>
      </c>
      <c r="AA143" s="110">
        <f t="shared" si="39"/>
        <v>0</v>
      </c>
      <c r="AB143" s="110">
        <f t="shared" si="40"/>
        <v>0</v>
      </c>
      <c r="AC143" s="371" t="s">
        <v>163</v>
      </c>
      <c r="AD143" s="371" t="s">
        <v>148</v>
      </c>
      <c r="AE143" s="371" t="s">
        <v>149</v>
      </c>
      <c r="AF143" s="371"/>
    </row>
    <row r="144" spans="1:32" hidden="1" x14ac:dyDescent="0.2">
      <c r="A144" s="14" t="str">
        <f t="shared" si="36"/>
        <v/>
      </c>
      <c r="B144" s="262" t="s">
        <v>470</v>
      </c>
      <c r="C144" s="318"/>
      <c r="D144" s="267"/>
      <c r="E144" s="278">
        <v>14</v>
      </c>
      <c r="F144" s="288">
        <v>80</v>
      </c>
      <c r="G144" s="295">
        <v>0.75</v>
      </c>
      <c r="H144" s="15" t="s">
        <v>66</v>
      </c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7">
        <f t="shared" si="37"/>
        <v>0</v>
      </c>
      <c r="T144" s="7" t="s">
        <v>493</v>
      </c>
      <c r="U144" s="66">
        <f>8.55*AF$101</f>
        <v>25.650000000000002</v>
      </c>
      <c r="V144" s="86">
        <f t="shared" si="38"/>
        <v>0</v>
      </c>
      <c r="W144" s="35">
        <f>Rate!D$9</f>
        <v>38</v>
      </c>
      <c r="X144" s="110">
        <f t="shared" si="32"/>
        <v>0</v>
      </c>
      <c r="Y144" s="110">
        <f t="shared" si="33"/>
        <v>0</v>
      </c>
      <c r="Z144" s="110">
        <f t="shared" si="34"/>
        <v>0</v>
      </c>
      <c r="AA144" s="110">
        <f t="shared" si="39"/>
        <v>0</v>
      </c>
      <c r="AB144" s="110">
        <f t="shared" si="40"/>
        <v>0</v>
      </c>
      <c r="AC144" s="371" t="s">
        <v>163</v>
      </c>
      <c r="AD144" s="371" t="s">
        <v>148</v>
      </c>
      <c r="AE144" s="371" t="s">
        <v>149</v>
      </c>
      <c r="AF144" s="371"/>
    </row>
    <row r="145" spans="1:32" hidden="1" x14ac:dyDescent="0.2">
      <c r="A145" s="14" t="str">
        <f t="shared" si="36"/>
        <v/>
      </c>
      <c r="B145" s="262" t="s">
        <v>470</v>
      </c>
      <c r="C145" s="318"/>
      <c r="D145" s="267"/>
      <c r="E145" s="278">
        <v>16</v>
      </c>
      <c r="F145" s="288">
        <v>80</v>
      </c>
      <c r="G145" s="295">
        <v>0.84299999999999997</v>
      </c>
      <c r="H145" s="15" t="s">
        <v>66</v>
      </c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7">
        <f t="shared" si="37"/>
        <v>0</v>
      </c>
      <c r="T145" s="7" t="s">
        <v>493</v>
      </c>
      <c r="U145" s="66">
        <f>11.13*AF$101</f>
        <v>33.39</v>
      </c>
      <c r="V145" s="86">
        <f t="shared" si="38"/>
        <v>0</v>
      </c>
      <c r="W145" s="35">
        <f>Rate!D$9</f>
        <v>38</v>
      </c>
      <c r="X145" s="110">
        <f t="shared" si="32"/>
        <v>0</v>
      </c>
      <c r="Y145" s="110">
        <f t="shared" si="33"/>
        <v>0</v>
      </c>
      <c r="Z145" s="110">
        <f t="shared" si="34"/>
        <v>0</v>
      </c>
      <c r="AA145" s="110">
        <f t="shared" si="39"/>
        <v>0</v>
      </c>
      <c r="AB145" s="110">
        <f t="shared" si="40"/>
        <v>0</v>
      </c>
      <c r="AC145" s="371" t="s">
        <v>163</v>
      </c>
      <c r="AD145" s="371" t="s">
        <v>148</v>
      </c>
      <c r="AE145" s="371" t="s">
        <v>149</v>
      </c>
      <c r="AF145" s="371"/>
    </row>
    <row r="146" spans="1:32" hidden="1" x14ac:dyDescent="0.2">
      <c r="A146" s="14" t="str">
        <f t="shared" si="36"/>
        <v/>
      </c>
      <c r="B146" s="262" t="s">
        <v>470</v>
      </c>
      <c r="C146" s="318"/>
      <c r="D146" s="267"/>
      <c r="E146" s="278">
        <v>18</v>
      </c>
      <c r="F146" s="288">
        <v>80</v>
      </c>
      <c r="G146" s="295">
        <v>0.93700000000000006</v>
      </c>
      <c r="H146" s="15" t="s">
        <v>66</v>
      </c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7">
        <f t="shared" si="37"/>
        <v>0</v>
      </c>
      <c r="T146" s="7" t="s">
        <v>493</v>
      </c>
      <c r="U146" s="66">
        <f>14.43*AF$101</f>
        <v>43.29</v>
      </c>
      <c r="V146" s="86">
        <f t="shared" si="38"/>
        <v>0</v>
      </c>
      <c r="W146" s="35">
        <f>Rate!D$9</f>
        <v>38</v>
      </c>
      <c r="X146" s="110">
        <f t="shared" si="32"/>
        <v>0</v>
      </c>
      <c r="Y146" s="110">
        <f t="shared" si="33"/>
        <v>0</v>
      </c>
      <c r="Z146" s="110">
        <f t="shared" si="34"/>
        <v>0</v>
      </c>
      <c r="AA146" s="110">
        <f t="shared" si="39"/>
        <v>0</v>
      </c>
      <c r="AB146" s="110">
        <f t="shared" si="40"/>
        <v>0</v>
      </c>
      <c r="AC146" s="371" t="s">
        <v>163</v>
      </c>
      <c r="AD146" s="371" t="s">
        <v>148</v>
      </c>
      <c r="AE146" s="371" t="s">
        <v>149</v>
      </c>
      <c r="AF146" s="371"/>
    </row>
    <row r="147" spans="1:32" hidden="1" x14ac:dyDescent="0.2">
      <c r="A147" s="14" t="str">
        <f t="shared" si="36"/>
        <v/>
      </c>
      <c r="B147" s="262" t="s">
        <v>470</v>
      </c>
      <c r="C147" s="318"/>
      <c r="D147" s="267"/>
      <c r="E147" s="278">
        <v>20</v>
      </c>
      <c r="F147" s="288">
        <v>80</v>
      </c>
      <c r="G147" s="295">
        <v>1.0309999999999999</v>
      </c>
      <c r="H147" s="15" t="s">
        <v>66</v>
      </c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7">
        <f t="shared" si="37"/>
        <v>0</v>
      </c>
      <c r="T147" s="7" t="s">
        <v>493</v>
      </c>
      <c r="U147" s="66">
        <f>17.33*AF$101</f>
        <v>51.989999999999995</v>
      </c>
      <c r="V147" s="86">
        <f t="shared" si="38"/>
        <v>0</v>
      </c>
      <c r="W147" s="35">
        <f>Rate!D$9</f>
        <v>38</v>
      </c>
      <c r="X147" s="110">
        <f t="shared" si="32"/>
        <v>0</v>
      </c>
      <c r="Y147" s="110">
        <f t="shared" si="33"/>
        <v>0</v>
      </c>
      <c r="Z147" s="110">
        <f t="shared" si="34"/>
        <v>0</v>
      </c>
      <c r="AA147" s="110">
        <f t="shared" si="39"/>
        <v>0</v>
      </c>
      <c r="AB147" s="110">
        <f t="shared" si="40"/>
        <v>0</v>
      </c>
      <c r="AC147" s="371" t="s">
        <v>163</v>
      </c>
      <c r="AD147" s="371" t="s">
        <v>148</v>
      </c>
      <c r="AE147" s="371" t="s">
        <v>149</v>
      </c>
      <c r="AF147" s="371"/>
    </row>
    <row r="148" spans="1:32" hidden="1" x14ac:dyDescent="0.2">
      <c r="A148" s="14" t="str">
        <f t="shared" si="36"/>
        <v/>
      </c>
      <c r="B148" s="262" t="s">
        <v>470</v>
      </c>
      <c r="C148" s="318"/>
      <c r="D148" s="267"/>
      <c r="E148" s="278">
        <v>24</v>
      </c>
      <c r="F148" s="288">
        <v>80</v>
      </c>
      <c r="G148" s="295">
        <v>1.218</v>
      </c>
      <c r="H148" s="15" t="s">
        <v>66</v>
      </c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7">
        <f t="shared" si="37"/>
        <v>0</v>
      </c>
      <c r="T148" s="7" t="s">
        <v>493</v>
      </c>
      <c r="U148" s="66">
        <f>24.61*AF$101</f>
        <v>73.83</v>
      </c>
      <c r="V148" s="86">
        <f t="shared" si="38"/>
        <v>0</v>
      </c>
      <c r="W148" s="35">
        <f>Rate!D$9</f>
        <v>38</v>
      </c>
      <c r="X148" s="110">
        <f t="shared" si="32"/>
        <v>0</v>
      </c>
      <c r="Y148" s="110">
        <f t="shared" si="33"/>
        <v>0</v>
      </c>
      <c r="Z148" s="110">
        <f t="shared" si="34"/>
        <v>0</v>
      </c>
      <c r="AA148" s="110">
        <f t="shared" si="39"/>
        <v>0</v>
      </c>
      <c r="AB148" s="110">
        <f t="shared" si="40"/>
        <v>0</v>
      </c>
      <c r="AC148" s="371" t="s">
        <v>163</v>
      </c>
      <c r="AD148" s="371" t="s">
        <v>148</v>
      </c>
      <c r="AE148" s="371" t="s">
        <v>149</v>
      </c>
      <c r="AF148" s="371"/>
    </row>
    <row r="149" spans="1:32" hidden="1" x14ac:dyDescent="0.2">
      <c r="A149" s="14" t="str">
        <f t="shared" si="36"/>
        <v/>
      </c>
      <c r="B149" s="262" t="s">
        <v>470</v>
      </c>
      <c r="C149" s="317"/>
      <c r="D149" s="266"/>
      <c r="E149" s="262">
        <v>1</v>
      </c>
      <c r="F149" s="287">
        <v>160</v>
      </c>
      <c r="G149" s="294">
        <v>0.25</v>
      </c>
      <c r="H149" s="15" t="s">
        <v>66</v>
      </c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7">
        <f t="shared" si="37"/>
        <v>0</v>
      </c>
      <c r="T149" s="7" t="s">
        <v>493</v>
      </c>
      <c r="U149" s="66">
        <f>1*AF$101</f>
        <v>3</v>
      </c>
      <c r="V149" s="86">
        <f t="shared" si="38"/>
        <v>0</v>
      </c>
      <c r="W149" s="35">
        <f>Rate!D$9</f>
        <v>38</v>
      </c>
      <c r="X149" s="110">
        <f t="shared" si="32"/>
        <v>0</v>
      </c>
      <c r="Y149" s="110">
        <f t="shared" si="33"/>
        <v>0</v>
      </c>
      <c r="Z149" s="110">
        <f t="shared" si="34"/>
        <v>0</v>
      </c>
      <c r="AA149" s="110">
        <f t="shared" si="39"/>
        <v>0</v>
      </c>
      <c r="AB149" s="110">
        <f t="shared" si="35"/>
        <v>0</v>
      </c>
      <c r="AC149" s="371" t="s">
        <v>163</v>
      </c>
      <c r="AD149" s="371" t="s">
        <v>148</v>
      </c>
      <c r="AE149" s="371" t="s">
        <v>149</v>
      </c>
      <c r="AF149" s="371"/>
    </row>
    <row r="150" spans="1:32" hidden="1" x14ac:dyDescent="0.2">
      <c r="A150" s="14" t="str">
        <f t="shared" si="36"/>
        <v/>
      </c>
      <c r="B150" s="262" t="s">
        <v>470</v>
      </c>
      <c r="C150" s="317"/>
      <c r="D150" s="266"/>
      <c r="E150" s="262">
        <v>1.5</v>
      </c>
      <c r="F150" s="287">
        <v>160</v>
      </c>
      <c r="G150" s="294">
        <v>0.28100000000000003</v>
      </c>
      <c r="H150" s="15" t="s">
        <v>66</v>
      </c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7">
        <f t="shared" si="37"/>
        <v>0</v>
      </c>
      <c r="T150" s="7" t="s">
        <v>493</v>
      </c>
      <c r="U150" s="66">
        <f>1.3*AF$101</f>
        <v>3.9000000000000004</v>
      </c>
      <c r="V150" s="86">
        <f t="shared" si="38"/>
        <v>0</v>
      </c>
      <c r="W150" s="35">
        <f>Rate!D$9</f>
        <v>38</v>
      </c>
      <c r="X150" s="110">
        <f t="shared" si="32"/>
        <v>0</v>
      </c>
      <c r="Y150" s="110">
        <f t="shared" si="33"/>
        <v>0</v>
      </c>
      <c r="Z150" s="110">
        <f t="shared" si="34"/>
        <v>0</v>
      </c>
      <c r="AA150" s="110">
        <f t="shared" si="39"/>
        <v>0</v>
      </c>
      <c r="AB150" s="110">
        <f t="shared" si="35"/>
        <v>0</v>
      </c>
      <c r="AC150" s="371" t="s">
        <v>163</v>
      </c>
      <c r="AD150" s="371" t="s">
        <v>148</v>
      </c>
      <c r="AE150" s="371" t="s">
        <v>149</v>
      </c>
      <c r="AF150" s="371"/>
    </row>
    <row r="151" spans="1:32" hidden="1" x14ac:dyDescent="0.2">
      <c r="A151" s="14" t="str">
        <f t="shared" si="36"/>
        <v/>
      </c>
      <c r="B151" s="262" t="s">
        <v>470</v>
      </c>
      <c r="C151" s="317"/>
      <c r="D151" s="266"/>
      <c r="E151" s="262">
        <v>2</v>
      </c>
      <c r="F151" s="287">
        <v>160</v>
      </c>
      <c r="G151" s="294">
        <v>0.34300000000000003</v>
      </c>
      <c r="H151" s="15" t="s">
        <v>66</v>
      </c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7">
        <f t="shared" si="37"/>
        <v>0</v>
      </c>
      <c r="T151" s="7" t="s">
        <v>493</v>
      </c>
      <c r="U151" s="66">
        <f>1.6*AF$101</f>
        <v>4.8000000000000007</v>
      </c>
      <c r="V151" s="86">
        <f t="shared" si="38"/>
        <v>0</v>
      </c>
      <c r="W151" s="35">
        <f>Rate!D$9</f>
        <v>38</v>
      </c>
      <c r="X151" s="110">
        <f t="shared" si="32"/>
        <v>0</v>
      </c>
      <c r="Y151" s="110">
        <f t="shared" si="33"/>
        <v>0</v>
      </c>
      <c r="Z151" s="110">
        <f t="shared" si="34"/>
        <v>0</v>
      </c>
      <c r="AA151" s="110">
        <f t="shared" si="39"/>
        <v>0</v>
      </c>
      <c r="AB151" s="110">
        <f t="shared" si="35"/>
        <v>0</v>
      </c>
      <c r="AC151" s="371" t="s">
        <v>163</v>
      </c>
      <c r="AD151" s="371" t="s">
        <v>148</v>
      </c>
      <c r="AE151" s="371" t="s">
        <v>149</v>
      </c>
      <c r="AF151" s="371"/>
    </row>
    <row r="152" spans="1:32" hidden="1" x14ac:dyDescent="0.2">
      <c r="A152" s="14" t="str">
        <f t="shared" si="36"/>
        <v/>
      </c>
      <c r="B152" s="262" t="s">
        <v>470</v>
      </c>
      <c r="C152" s="317"/>
      <c r="D152" s="266"/>
      <c r="E152" s="262">
        <v>3</v>
      </c>
      <c r="F152" s="287">
        <v>160</v>
      </c>
      <c r="G152" s="294">
        <v>0.437</v>
      </c>
      <c r="H152" s="15" t="s">
        <v>66</v>
      </c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7">
        <f t="shared" si="37"/>
        <v>0</v>
      </c>
      <c r="T152" s="7" t="s">
        <v>493</v>
      </c>
      <c r="U152" s="66">
        <f>2.1*AF$101</f>
        <v>6.3000000000000007</v>
      </c>
      <c r="V152" s="86">
        <f t="shared" si="38"/>
        <v>0</v>
      </c>
      <c r="W152" s="35">
        <f>Rate!D$9</f>
        <v>38</v>
      </c>
      <c r="X152" s="110">
        <f t="shared" si="32"/>
        <v>0</v>
      </c>
      <c r="Y152" s="110">
        <f t="shared" si="33"/>
        <v>0</v>
      </c>
      <c r="Z152" s="110">
        <f t="shared" si="34"/>
        <v>0</v>
      </c>
      <c r="AA152" s="110">
        <f t="shared" si="39"/>
        <v>0</v>
      </c>
      <c r="AB152" s="110">
        <f t="shared" si="35"/>
        <v>0</v>
      </c>
      <c r="AC152" s="371" t="s">
        <v>163</v>
      </c>
      <c r="AD152" s="371" t="s">
        <v>148</v>
      </c>
      <c r="AE152" s="371" t="s">
        <v>149</v>
      </c>
      <c r="AF152" s="371"/>
    </row>
    <row r="153" spans="1:32" hidden="1" x14ac:dyDescent="0.2">
      <c r="A153" s="14" t="str">
        <f t="shared" si="36"/>
        <v/>
      </c>
      <c r="B153" s="262" t="s">
        <v>470</v>
      </c>
      <c r="C153" s="317"/>
      <c r="D153" s="266"/>
      <c r="E153" s="262">
        <v>4</v>
      </c>
      <c r="F153" s="287">
        <v>160</v>
      </c>
      <c r="G153" s="294">
        <v>0.53100000000000003</v>
      </c>
      <c r="H153" s="15" t="s">
        <v>66</v>
      </c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7">
        <f t="shared" si="37"/>
        <v>0</v>
      </c>
      <c r="T153" s="7" t="s">
        <v>493</v>
      </c>
      <c r="U153" s="66">
        <f>3*AF$101</f>
        <v>9</v>
      </c>
      <c r="V153" s="86">
        <f t="shared" si="38"/>
        <v>0</v>
      </c>
      <c r="W153" s="35">
        <f>Rate!D$9</f>
        <v>38</v>
      </c>
      <c r="X153" s="110">
        <f t="shared" si="32"/>
        <v>0</v>
      </c>
      <c r="Y153" s="110">
        <f t="shared" si="33"/>
        <v>0</v>
      </c>
      <c r="Z153" s="110">
        <f t="shared" si="34"/>
        <v>0</v>
      </c>
      <c r="AA153" s="110">
        <f t="shared" si="39"/>
        <v>0</v>
      </c>
      <c r="AB153" s="110">
        <f t="shared" si="35"/>
        <v>0</v>
      </c>
      <c r="AC153" s="371" t="s">
        <v>163</v>
      </c>
      <c r="AD153" s="371" t="s">
        <v>148</v>
      </c>
      <c r="AE153" s="371" t="s">
        <v>149</v>
      </c>
      <c r="AF153" s="371"/>
    </row>
    <row r="154" spans="1:32" hidden="1" x14ac:dyDescent="0.2">
      <c r="A154" s="14" t="str">
        <f t="shared" si="36"/>
        <v/>
      </c>
      <c r="B154" s="262" t="s">
        <v>470</v>
      </c>
      <c r="C154" s="317"/>
      <c r="D154" s="266"/>
      <c r="E154" s="262">
        <v>6</v>
      </c>
      <c r="F154" s="287">
        <v>160</v>
      </c>
      <c r="G154" s="294">
        <v>0.71799999999999997</v>
      </c>
      <c r="H154" s="15" t="s">
        <v>66</v>
      </c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7">
        <f t="shared" si="37"/>
        <v>0</v>
      </c>
      <c r="T154" s="7" t="s">
        <v>493</v>
      </c>
      <c r="U154" s="66">
        <f>4.9*AF$101</f>
        <v>14.700000000000001</v>
      </c>
      <c r="V154" s="86">
        <f t="shared" si="38"/>
        <v>0</v>
      </c>
      <c r="W154" s="35">
        <f>Rate!D$9</f>
        <v>38</v>
      </c>
      <c r="X154" s="110">
        <f t="shared" si="32"/>
        <v>0</v>
      </c>
      <c r="Y154" s="110">
        <f t="shared" si="33"/>
        <v>0</v>
      </c>
      <c r="Z154" s="110">
        <f t="shared" si="34"/>
        <v>0</v>
      </c>
      <c r="AA154" s="110">
        <f t="shared" si="39"/>
        <v>0</v>
      </c>
      <c r="AB154" s="110">
        <f t="shared" si="35"/>
        <v>0</v>
      </c>
      <c r="AC154" s="371" t="s">
        <v>163</v>
      </c>
      <c r="AD154" s="371" t="s">
        <v>148</v>
      </c>
      <c r="AE154" s="371" t="s">
        <v>149</v>
      </c>
      <c r="AF154" s="371"/>
    </row>
    <row r="155" spans="1:32" hidden="1" x14ac:dyDescent="0.2">
      <c r="A155" s="14" t="str">
        <f t="shared" si="36"/>
        <v/>
      </c>
      <c r="B155" s="262" t="s">
        <v>470</v>
      </c>
      <c r="C155" s="317"/>
      <c r="D155" s="266"/>
      <c r="E155" s="262">
        <v>8</v>
      </c>
      <c r="F155" s="287">
        <v>160</v>
      </c>
      <c r="G155" s="294">
        <v>0.90600000000000003</v>
      </c>
      <c r="H155" s="15" t="s">
        <v>66</v>
      </c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7">
        <f t="shared" si="37"/>
        <v>0</v>
      </c>
      <c r="T155" s="7" t="s">
        <v>493</v>
      </c>
      <c r="U155" s="66">
        <f>8.6*AF$101</f>
        <v>25.799999999999997</v>
      </c>
      <c r="V155" s="86">
        <f t="shared" si="38"/>
        <v>0</v>
      </c>
      <c r="W155" s="35">
        <f>Rate!D$9</f>
        <v>38</v>
      </c>
      <c r="X155" s="110">
        <f t="shared" si="32"/>
        <v>0</v>
      </c>
      <c r="Y155" s="110">
        <f t="shared" si="33"/>
        <v>0</v>
      </c>
      <c r="Z155" s="110">
        <f t="shared" si="34"/>
        <v>0</v>
      </c>
      <c r="AA155" s="110">
        <f t="shared" si="39"/>
        <v>0</v>
      </c>
      <c r="AB155" s="110">
        <f t="shared" si="35"/>
        <v>0</v>
      </c>
      <c r="AC155" s="371" t="s">
        <v>163</v>
      </c>
      <c r="AD155" s="371" t="s">
        <v>148</v>
      </c>
      <c r="AE155" s="371" t="s">
        <v>149</v>
      </c>
      <c r="AF155" s="371"/>
    </row>
    <row r="156" spans="1:32" hidden="1" x14ac:dyDescent="0.2">
      <c r="A156" s="14" t="str">
        <f t="shared" si="36"/>
        <v/>
      </c>
      <c r="B156" s="262" t="s">
        <v>470</v>
      </c>
      <c r="C156" s="317"/>
      <c r="D156" s="266"/>
      <c r="E156" s="262">
        <v>10</v>
      </c>
      <c r="F156" s="287">
        <v>160</v>
      </c>
      <c r="G156" s="294">
        <v>1.125</v>
      </c>
      <c r="H156" s="15" t="s">
        <v>66</v>
      </c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7">
        <f t="shared" si="37"/>
        <v>0</v>
      </c>
      <c r="T156" s="7" t="s">
        <v>493</v>
      </c>
      <c r="U156" s="66">
        <f>13.1*AF$101</f>
        <v>39.299999999999997</v>
      </c>
      <c r="V156" s="86">
        <f t="shared" si="38"/>
        <v>0</v>
      </c>
      <c r="W156" s="35">
        <f>Rate!D$9</f>
        <v>38</v>
      </c>
      <c r="X156" s="110">
        <f t="shared" si="32"/>
        <v>0</v>
      </c>
      <c r="Y156" s="110">
        <f t="shared" si="33"/>
        <v>0</v>
      </c>
      <c r="Z156" s="110">
        <f t="shared" si="34"/>
        <v>0</v>
      </c>
      <c r="AA156" s="110">
        <f t="shared" si="39"/>
        <v>0</v>
      </c>
      <c r="AB156" s="110">
        <f t="shared" si="35"/>
        <v>0</v>
      </c>
      <c r="AC156" s="371" t="s">
        <v>163</v>
      </c>
      <c r="AD156" s="371" t="s">
        <v>148</v>
      </c>
      <c r="AE156" s="371" t="s">
        <v>149</v>
      </c>
      <c r="AF156" s="371"/>
    </row>
    <row r="157" spans="1:32" hidden="1" x14ac:dyDescent="0.2">
      <c r="A157" s="14" t="str">
        <f t="shared" si="36"/>
        <v/>
      </c>
      <c r="B157" s="262" t="s">
        <v>470</v>
      </c>
      <c r="C157" s="317"/>
      <c r="D157" s="266"/>
      <c r="E157" s="262">
        <v>12</v>
      </c>
      <c r="F157" s="287">
        <v>160</v>
      </c>
      <c r="G157" s="294">
        <v>1.3120000000000001</v>
      </c>
      <c r="H157" s="15" t="s">
        <v>66</v>
      </c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7">
        <f t="shared" si="37"/>
        <v>0</v>
      </c>
      <c r="T157" s="7" t="s">
        <v>493</v>
      </c>
      <c r="U157" s="66">
        <f>17.9*AF$101</f>
        <v>53.699999999999996</v>
      </c>
      <c r="V157" s="86">
        <f t="shared" si="38"/>
        <v>0</v>
      </c>
      <c r="W157" s="35">
        <f>Rate!D$9</f>
        <v>38</v>
      </c>
      <c r="X157" s="110">
        <f t="shared" si="32"/>
        <v>0</v>
      </c>
      <c r="Y157" s="110">
        <f t="shared" si="33"/>
        <v>0</v>
      </c>
      <c r="Z157" s="110">
        <f t="shared" si="34"/>
        <v>0</v>
      </c>
      <c r="AA157" s="110">
        <f t="shared" si="39"/>
        <v>0</v>
      </c>
      <c r="AB157" s="110">
        <f t="shared" si="35"/>
        <v>0</v>
      </c>
      <c r="AC157" s="371" t="s">
        <v>163</v>
      </c>
      <c r="AD157" s="371" t="s">
        <v>148</v>
      </c>
      <c r="AE157" s="371" t="s">
        <v>149</v>
      </c>
      <c r="AF157" s="371"/>
    </row>
    <row r="158" spans="1:32" hidden="1" x14ac:dyDescent="0.2">
      <c r="A158" s="14" t="str">
        <f t="shared" si="36"/>
        <v/>
      </c>
      <c r="B158" s="262" t="s">
        <v>470</v>
      </c>
      <c r="C158" s="317"/>
      <c r="D158" s="266"/>
      <c r="E158" s="262">
        <v>14</v>
      </c>
      <c r="F158" s="287">
        <v>160</v>
      </c>
      <c r="G158" s="294">
        <v>1.4059999999999999</v>
      </c>
      <c r="H158" s="15" t="s">
        <v>66</v>
      </c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7">
        <f t="shared" si="37"/>
        <v>0</v>
      </c>
      <c r="T158" s="7" t="s">
        <v>493</v>
      </c>
      <c r="U158" s="66">
        <f>22.7*AF$101</f>
        <v>68.099999999999994</v>
      </c>
      <c r="V158" s="86">
        <f t="shared" si="38"/>
        <v>0</v>
      </c>
      <c r="W158" s="35">
        <f>Rate!D$9</f>
        <v>38</v>
      </c>
      <c r="X158" s="110">
        <f t="shared" si="32"/>
        <v>0</v>
      </c>
      <c r="Y158" s="110">
        <f t="shared" si="33"/>
        <v>0</v>
      </c>
      <c r="Z158" s="110">
        <f t="shared" si="34"/>
        <v>0</v>
      </c>
      <c r="AA158" s="110">
        <f t="shared" si="39"/>
        <v>0</v>
      </c>
      <c r="AB158" s="110">
        <f t="shared" si="35"/>
        <v>0</v>
      </c>
      <c r="AC158" s="371" t="s">
        <v>163</v>
      </c>
      <c r="AD158" s="371" t="s">
        <v>148</v>
      </c>
      <c r="AE158" s="371" t="s">
        <v>149</v>
      </c>
      <c r="AF158" s="371"/>
    </row>
    <row r="159" spans="1:32" hidden="1" x14ac:dyDescent="0.2">
      <c r="A159" s="14" t="str">
        <f t="shared" si="36"/>
        <v/>
      </c>
      <c r="B159" s="262" t="s">
        <v>471</v>
      </c>
      <c r="C159" s="319"/>
      <c r="D159" s="266"/>
      <c r="E159" s="262">
        <v>0.5</v>
      </c>
      <c r="F159" s="287" t="s">
        <v>2</v>
      </c>
      <c r="G159" s="287"/>
      <c r="H159" s="15" t="s">
        <v>66</v>
      </c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7">
        <f t="shared" si="37"/>
        <v>0</v>
      </c>
      <c r="T159" s="7" t="s">
        <v>493</v>
      </c>
      <c r="U159" s="66">
        <f>0.6*AF$101</f>
        <v>1.7999999999999998</v>
      </c>
      <c r="V159" s="86">
        <f t="shared" si="38"/>
        <v>0</v>
      </c>
      <c r="W159" s="35">
        <f>Rate!D$9</f>
        <v>38</v>
      </c>
      <c r="X159" s="110">
        <f t="shared" si="32"/>
        <v>0</v>
      </c>
      <c r="Y159" s="110">
        <f t="shared" si="33"/>
        <v>0</v>
      </c>
      <c r="Z159" s="110">
        <f t="shared" si="34"/>
        <v>0</v>
      </c>
      <c r="AA159" s="110">
        <f t="shared" si="39"/>
        <v>0</v>
      </c>
      <c r="AB159" s="110">
        <f t="shared" si="35"/>
        <v>0</v>
      </c>
      <c r="AC159" s="371" t="s">
        <v>163</v>
      </c>
      <c r="AD159" s="371" t="s">
        <v>148</v>
      </c>
      <c r="AE159" s="371" t="s">
        <v>149</v>
      </c>
      <c r="AF159" s="371"/>
    </row>
    <row r="160" spans="1:32" hidden="1" x14ac:dyDescent="0.2">
      <c r="A160" s="14" t="str">
        <f t="shared" si="36"/>
        <v/>
      </c>
      <c r="B160" s="262" t="s">
        <v>471</v>
      </c>
      <c r="C160" s="319"/>
      <c r="D160" s="266"/>
      <c r="E160" s="262">
        <v>0.75</v>
      </c>
      <c r="F160" s="287" t="s">
        <v>2</v>
      </c>
      <c r="G160" s="287"/>
      <c r="H160" s="15" t="s">
        <v>66</v>
      </c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7">
        <f t="shared" si="37"/>
        <v>0</v>
      </c>
      <c r="T160" s="7" t="s">
        <v>493</v>
      </c>
      <c r="U160" s="66">
        <f>0.6*AF$101</f>
        <v>1.7999999999999998</v>
      </c>
      <c r="V160" s="86">
        <f t="shared" si="38"/>
        <v>0</v>
      </c>
      <c r="W160" s="35">
        <f>Rate!D$9</f>
        <v>38</v>
      </c>
      <c r="X160" s="110">
        <f t="shared" si="32"/>
        <v>0</v>
      </c>
      <c r="Y160" s="110">
        <f t="shared" si="33"/>
        <v>0</v>
      </c>
      <c r="Z160" s="110">
        <f t="shared" si="34"/>
        <v>0</v>
      </c>
      <c r="AA160" s="110">
        <f t="shared" si="39"/>
        <v>0</v>
      </c>
      <c r="AB160" s="110">
        <f t="shared" si="35"/>
        <v>0</v>
      </c>
      <c r="AC160" s="371" t="s">
        <v>163</v>
      </c>
      <c r="AD160" s="371" t="s">
        <v>148</v>
      </c>
      <c r="AE160" s="371" t="s">
        <v>149</v>
      </c>
      <c r="AF160" s="371"/>
    </row>
    <row r="161" spans="1:32" hidden="1" x14ac:dyDescent="0.2">
      <c r="A161" s="14" t="str">
        <f t="shared" si="36"/>
        <v/>
      </c>
      <c r="B161" s="262" t="s">
        <v>471</v>
      </c>
      <c r="C161" s="319"/>
      <c r="D161" s="266"/>
      <c r="E161" s="262">
        <v>1</v>
      </c>
      <c r="F161" s="287" t="s">
        <v>2</v>
      </c>
      <c r="G161" s="287"/>
      <c r="H161" s="15" t="s">
        <v>66</v>
      </c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7">
        <f t="shared" si="37"/>
        <v>0</v>
      </c>
      <c r="T161" s="7" t="s">
        <v>493</v>
      </c>
      <c r="U161" s="66">
        <f>0.7*AF$101</f>
        <v>2.0999999999999996</v>
      </c>
      <c r="V161" s="86">
        <f t="shared" si="38"/>
        <v>0</v>
      </c>
      <c r="W161" s="35">
        <f>Rate!D$9</f>
        <v>38</v>
      </c>
      <c r="X161" s="110">
        <f t="shared" si="32"/>
        <v>0</v>
      </c>
      <c r="Y161" s="110">
        <f t="shared" si="33"/>
        <v>0</v>
      </c>
      <c r="Z161" s="110">
        <f t="shared" si="34"/>
        <v>0</v>
      </c>
      <c r="AA161" s="110">
        <f t="shared" si="39"/>
        <v>0</v>
      </c>
      <c r="AB161" s="110">
        <f t="shared" si="35"/>
        <v>0</v>
      </c>
      <c r="AC161" s="371" t="s">
        <v>163</v>
      </c>
      <c r="AD161" s="371" t="s">
        <v>148</v>
      </c>
      <c r="AE161" s="371" t="s">
        <v>149</v>
      </c>
      <c r="AF161" s="371"/>
    </row>
    <row r="162" spans="1:32" hidden="1" x14ac:dyDescent="0.2">
      <c r="A162" s="14" t="str">
        <f t="shared" si="36"/>
        <v/>
      </c>
      <c r="B162" s="262" t="s">
        <v>471</v>
      </c>
      <c r="C162" s="319"/>
      <c r="D162" s="266"/>
      <c r="E162" s="262">
        <v>1.5</v>
      </c>
      <c r="F162" s="287" t="s">
        <v>2</v>
      </c>
      <c r="G162" s="287"/>
      <c r="H162" s="15" t="s">
        <v>66</v>
      </c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7">
        <f t="shared" si="37"/>
        <v>0</v>
      </c>
      <c r="T162" s="7" t="s">
        <v>493</v>
      </c>
      <c r="U162" s="66">
        <f>0.9*AF$101</f>
        <v>2.7</v>
      </c>
      <c r="V162" s="86">
        <f t="shared" si="38"/>
        <v>0</v>
      </c>
      <c r="W162" s="35">
        <f>Rate!D$9</f>
        <v>38</v>
      </c>
      <c r="X162" s="110">
        <f t="shared" si="32"/>
        <v>0</v>
      </c>
      <c r="Y162" s="110">
        <f t="shared" si="33"/>
        <v>0</v>
      </c>
      <c r="Z162" s="110">
        <f t="shared" si="34"/>
        <v>0</v>
      </c>
      <c r="AA162" s="110">
        <f t="shared" si="39"/>
        <v>0</v>
      </c>
      <c r="AB162" s="110">
        <f t="shared" si="35"/>
        <v>0</v>
      </c>
      <c r="AC162" s="371" t="s">
        <v>163</v>
      </c>
      <c r="AD162" s="371" t="s">
        <v>148</v>
      </c>
      <c r="AE162" s="371" t="s">
        <v>149</v>
      </c>
      <c r="AF162" s="371"/>
    </row>
    <row r="163" spans="1:32" hidden="1" x14ac:dyDescent="0.2">
      <c r="A163" s="14" t="str">
        <f t="shared" si="36"/>
        <v/>
      </c>
      <c r="B163" s="262" t="s">
        <v>471</v>
      </c>
      <c r="C163" s="319"/>
      <c r="D163" s="266"/>
      <c r="E163" s="262">
        <v>2</v>
      </c>
      <c r="F163" s="287" t="s">
        <v>2</v>
      </c>
      <c r="G163" s="287"/>
      <c r="H163" s="15" t="s">
        <v>66</v>
      </c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7">
        <f t="shared" si="37"/>
        <v>0</v>
      </c>
      <c r="T163" s="7" t="s">
        <v>493</v>
      </c>
      <c r="U163" s="66">
        <f>1*AF$101</f>
        <v>3</v>
      </c>
      <c r="V163" s="86">
        <f t="shared" si="38"/>
        <v>0</v>
      </c>
      <c r="W163" s="35">
        <f>Rate!D$9</f>
        <v>38</v>
      </c>
      <c r="X163" s="110">
        <f t="shared" si="32"/>
        <v>0</v>
      </c>
      <c r="Y163" s="110">
        <f t="shared" si="33"/>
        <v>0</v>
      </c>
      <c r="Z163" s="110">
        <f t="shared" si="34"/>
        <v>0</v>
      </c>
      <c r="AA163" s="110">
        <f t="shared" si="39"/>
        <v>0</v>
      </c>
      <c r="AB163" s="110">
        <f t="shared" si="35"/>
        <v>0</v>
      </c>
      <c r="AC163" s="371" t="s">
        <v>163</v>
      </c>
      <c r="AD163" s="371" t="s">
        <v>148</v>
      </c>
      <c r="AE163" s="371" t="s">
        <v>149</v>
      </c>
      <c r="AF163" s="371"/>
    </row>
    <row r="164" spans="1:32" hidden="1" x14ac:dyDescent="0.2">
      <c r="A164" s="14" t="str">
        <f t="shared" si="36"/>
        <v/>
      </c>
      <c r="B164" s="262" t="s">
        <v>471</v>
      </c>
      <c r="C164" s="319"/>
      <c r="D164" s="266"/>
      <c r="E164" s="262">
        <v>0.5</v>
      </c>
      <c r="F164" s="287" t="s">
        <v>3</v>
      </c>
      <c r="G164" s="287"/>
      <c r="H164" s="15" t="s">
        <v>66</v>
      </c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7">
        <f t="shared" si="37"/>
        <v>0</v>
      </c>
      <c r="T164" s="7" t="s">
        <v>493</v>
      </c>
      <c r="U164" s="66">
        <f>0.6*AF$101</f>
        <v>1.7999999999999998</v>
      </c>
      <c r="V164" s="86">
        <f t="shared" si="38"/>
        <v>0</v>
      </c>
      <c r="W164" s="35">
        <f>Rate!D$9</f>
        <v>38</v>
      </c>
      <c r="X164" s="110">
        <f t="shared" si="32"/>
        <v>0</v>
      </c>
      <c r="Y164" s="110">
        <f t="shared" si="33"/>
        <v>0</v>
      </c>
      <c r="Z164" s="110">
        <f t="shared" si="34"/>
        <v>0</v>
      </c>
      <c r="AA164" s="110">
        <f t="shared" si="39"/>
        <v>0</v>
      </c>
      <c r="AB164" s="110">
        <f t="shared" si="35"/>
        <v>0</v>
      </c>
      <c r="AC164" s="371" t="s">
        <v>163</v>
      </c>
      <c r="AD164" s="371" t="s">
        <v>148</v>
      </c>
      <c r="AE164" s="371" t="s">
        <v>149</v>
      </c>
      <c r="AF164" s="371"/>
    </row>
    <row r="165" spans="1:32" hidden="1" x14ac:dyDescent="0.2">
      <c r="A165" s="14" t="str">
        <f t="shared" si="36"/>
        <v/>
      </c>
      <c r="B165" s="262" t="s">
        <v>471</v>
      </c>
      <c r="C165" s="319"/>
      <c r="D165" s="266"/>
      <c r="E165" s="262">
        <v>0.75</v>
      </c>
      <c r="F165" s="287" t="s">
        <v>3</v>
      </c>
      <c r="G165" s="287"/>
      <c r="H165" s="15" t="s">
        <v>66</v>
      </c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7">
        <f t="shared" si="37"/>
        <v>0</v>
      </c>
      <c r="T165" s="7" t="s">
        <v>493</v>
      </c>
      <c r="U165" s="66">
        <f>0.7*AF$101</f>
        <v>2.0999999999999996</v>
      </c>
      <c r="V165" s="86">
        <f t="shared" si="38"/>
        <v>0</v>
      </c>
      <c r="W165" s="35">
        <f>Rate!D$9</f>
        <v>38</v>
      </c>
      <c r="X165" s="110">
        <f t="shared" si="32"/>
        <v>0</v>
      </c>
      <c r="Y165" s="110">
        <f t="shared" si="33"/>
        <v>0</v>
      </c>
      <c r="Z165" s="110">
        <f t="shared" si="34"/>
        <v>0</v>
      </c>
      <c r="AA165" s="110">
        <f t="shared" si="39"/>
        <v>0</v>
      </c>
      <c r="AB165" s="110">
        <f t="shared" si="35"/>
        <v>0</v>
      </c>
      <c r="AC165" s="371" t="s">
        <v>163</v>
      </c>
      <c r="AD165" s="371" t="s">
        <v>148</v>
      </c>
      <c r="AE165" s="371" t="s">
        <v>149</v>
      </c>
      <c r="AF165" s="371"/>
    </row>
    <row r="166" spans="1:32" hidden="1" x14ac:dyDescent="0.2">
      <c r="A166" s="14" t="str">
        <f t="shared" ref="A166:A184" si="41">+IF(AB166&lt;&gt;0,"X","")</f>
        <v/>
      </c>
      <c r="B166" s="262" t="s">
        <v>471</v>
      </c>
      <c r="C166" s="319"/>
      <c r="D166" s="266"/>
      <c r="E166" s="262">
        <v>1</v>
      </c>
      <c r="F166" s="287" t="s">
        <v>3</v>
      </c>
      <c r="G166" s="287"/>
      <c r="H166" s="15" t="s">
        <v>66</v>
      </c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7">
        <f t="shared" si="37"/>
        <v>0</v>
      </c>
      <c r="T166" s="7" t="s">
        <v>493</v>
      </c>
      <c r="U166" s="66">
        <f>0.8*AF$101</f>
        <v>2.4000000000000004</v>
      </c>
      <c r="V166" s="86">
        <f t="shared" ref="V166:V184" si="42">+S166*U166</f>
        <v>0</v>
      </c>
      <c r="W166" s="35">
        <f>Rate!D$9</f>
        <v>38</v>
      </c>
      <c r="X166" s="110">
        <f t="shared" si="32"/>
        <v>0</v>
      </c>
      <c r="Y166" s="110">
        <f t="shared" si="33"/>
        <v>0</v>
      </c>
      <c r="Z166" s="110">
        <f t="shared" si="34"/>
        <v>0</v>
      </c>
      <c r="AA166" s="110">
        <f t="shared" si="39"/>
        <v>0</v>
      </c>
      <c r="AB166" s="110">
        <f t="shared" si="35"/>
        <v>0</v>
      </c>
      <c r="AC166" s="371" t="s">
        <v>163</v>
      </c>
      <c r="AD166" s="371" t="s">
        <v>148</v>
      </c>
      <c r="AE166" s="371" t="s">
        <v>149</v>
      </c>
      <c r="AF166" s="371"/>
    </row>
    <row r="167" spans="1:32" hidden="1" x14ac:dyDescent="0.2">
      <c r="A167" s="14" t="str">
        <f t="shared" si="41"/>
        <v/>
      </c>
      <c r="B167" s="262" t="s">
        <v>471</v>
      </c>
      <c r="C167" s="319"/>
      <c r="D167" s="266"/>
      <c r="E167" s="262">
        <v>1.5</v>
      </c>
      <c r="F167" s="287" t="s">
        <v>3</v>
      </c>
      <c r="G167" s="287"/>
      <c r="H167" s="15" t="s">
        <v>66</v>
      </c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7">
        <f t="shared" si="37"/>
        <v>0</v>
      </c>
      <c r="T167" s="7" t="s">
        <v>493</v>
      </c>
      <c r="U167" s="66">
        <f>1.2*AF$101</f>
        <v>3.5999999999999996</v>
      </c>
      <c r="V167" s="86">
        <f t="shared" si="42"/>
        <v>0</v>
      </c>
      <c r="W167" s="35">
        <f>Rate!D$9</f>
        <v>38</v>
      </c>
      <c r="X167" s="110">
        <f t="shared" si="32"/>
        <v>0</v>
      </c>
      <c r="Y167" s="110">
        <f t="shared" si="33"/>
        <v>0</v>
      </c>
      <c r="Z167" s="110">
        <f t="shared" si="34"/>
        <v>0</v>
      </c>
      <c r="AA167" s="110">
        <f t="shared" si="39"/>
        <v>0</v>
      </c>
      <c r="AB167" s="110">
        <f t="shared" si="35"/>
        <v>0</v>
      </c>
      <c r="AC167" s="371" t="s">
        <v>163</v>
      </c>
      <c r="AD167" s="371" t="s">
        <v>148</v>
      </c>
      <c r="AE167" s="371" t="s">
        <v>149</v>
      </c>
      <c r="AF167" s="371"/>
    </row>
    <row r="168" spans="1:32" hidden="1" x14ac:dyDescent="0.2">
      <c r="A168" s="14" t="str">
        <f t="shared" si="41"/>
        <v/>
      </c>
      <c r="B168" s="262" t="s">
        <v>471</v>
      </c>
      <c r="C168" s="319"/>
      <c r="D168" s="266"/>
      <c r="E168" s="262">
        <v>2</v>
      </c>
      <c r="F168" s="287" t="s">
        <v>3</v>
      </c>
      <c r="G168" s="287"/>
      <c r="H168" s="15" t="s">
        <v>66</v>
      </c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7">
        <f t="shared" si="37"/>
        <v>0</v>
      </c>
      <c r="T168" s="7" t="s">
        <v>493</v>
      </c>
      <c r="U168" s="66">
        <f>1.5*AF$101</f>
        <v>4.5</v>
      </c>
      <c r="V168" s="86">
        <f t="shared" si="42"/>
        <v>0</v>
      </c>
      <c r="W168" s="35">
        <f>Rate!D$9</f>
        <v>38</v>
      </c>
      <c r="X168" s="110">
        <f t="shared" si="32"/>
        <v>0</v>
      </c>
      <c r="Y168" s="110">
        <f t="shared" si="33"/>
        <v>0</v>
      </c>
      <c r="Z168" s="110">
        <f t="shared" si="34"/>
        <v>0</v>
      </c>
      <c r="AA168" s="110">
        <f t="shared" si="39"/>
        <v>0</v>
      </c>
      <c r="AB168" s="110">
        <f t="shared" si="35"/>
        <v>0</v>
      </c>
      <c r="AC168" s="371" t="s">
        <v>163</v>
      </c>
      <c r="AD168" s="371" t="s">
        <v>148</v>
      </c>
      <c r="AE168" s="371" t="s">
        <v>149</v>
      </c>
      <c r="AF168" s="371"/>
    </row>
    <row r="169" spans="1:32" hidden="1" x14ac:dyDescent="0.2">
      <c r="A169" s="14" t="str">
        <f t="shared" si="41"/>
        <v/>
      </c>
      <c r="B169" s="262" t="s">
        <v>472</v>
      </c>
      <c r="C169" s="319"/>
      <c r="D169" s="266"/>
      <c r="E169" s="262">
        <v>0.5</v>
      </c>
      <c r="F169" s="287" t="s">
        <v>79</v>
      </c>
      <c r="G169" s="287"/>
      <c r="H169" s="15" t="s">
        <v>66</v>
      </c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7">
        <f t="shared" si="37"/>
        <v>0</v>
      </c>
      <c r="T169" s="7" t="s">
        <v>493</v>
      </c>
      <c r="U169" s="66">
        <f>2*AF$101</f>
        <v>6</v>
      </c>
      <c r="V169" s="86">
        <f t="shared" si="42"/>
        <v>0</v>
      </c>
      <c r="W169" s="35">
        <f>Rate!D$9</f>
        <v>38</v>
      </c>
      <c r="X169" s="110">
        <f t="shared" si="32"/>
        <v>0</v>
      </c>
      <c r="Y169" s="110">
        <f t="shared" si="33"/>
        <v>0</v>
      </c>
      <c r="Z169" s="110">
        <f t="shared" si="34"/>
        <v>0</v>
      </c>
      <c r="AA169" s="110">
        <f t="shared" ref="AA169:AA230" si="43">IF(H169="E",G169*S169*W169,0)</f>
        <v>0</v>
      </c>
      <c r="AB169" s="110">
        <f t="shared" si="35"/>
        <v>0</v>
      </c>
      <c r="AC169" s="371" t="s">
        <v>163</v>
      </c>
      <c r="AD169" s="371" t="s">
        <v>148</v>
      </c>
      <c r="AE169" s="371" t="s">
        <v>149</v>
      </c>
      <c r="AF169" s="371"/>
    </row>
    <row r="170" spans="1:32" hidden="1" x14ac:dyDescent="0.2">
      <c r="A170" s="14" t="str">
        <f t="shared" si="41"/>
        <v/>
      </c>
      <c r="B170" s="262" t="s">
        <v>472</v>
      </c>
      <c r="C170" s="319"/>
      <c r="D170" s="266"/>
      <c r="E170" s="262">
        <v>0.75</v>
      </c>
      <c r="F170" s="287" t="s">
        <v>79</v>
      </c>
      <c r="G170" s="287"/>
      <c r="H170" s="15" t="s">
        <v>66</v>
      </c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7">
        <f t="shared" si="37"/>
        <v>0</v>
      </c>
      <c r="T170" s="7" t="s">
        <v>493</v>
      </c>
      <c r="U170" s="66">
        <f>2.2*AF$101</f>
        <v>6.6000000000000005</v>
      </c>
      <c r="V170" s="86">
        <f t="shared" si="42"/>
        <v>0</v>
      </c>
      <c r="W170" s="35">
        <f>Rate!D$9</f>
        <v>38</v>
      </c>
      <c r="X170" s="110">
        <f t="shared" si="32"/>
        <v>0</v>
      </c>
      <c r="Y170" s="110">
        <f t="shared" si="33"/>
        <v>0</v>
      </c>
      <c r="Z170" s="110">
        <f t="shared" si="34"/>
        <v>0</v>
      </c>
      <c r="AA170" s="110">
        <f t="shared" si="43"/>
        <v>0</v>
      </c>
      <c r="AB170" s="110">
        <f t="shared" si="35"/>
        <v>0</v>
      </c>
      <c r="AC170" s="371" t="s">
        <v>163</v>
      </c>
      <c r="AD170" s="371" t="s">
        <v>148</v>
      </c>
      <c r="AE170" s="371" t="s">
        <v>149</v>
      </c>
      <c r="AF170" s="371"/>
    </row>
    <row r="171" spans="1:32" hidden="1" x14ac:dyDescent="0.2">
      <c r="A171" s="14" t="str">
        <f t="shared" si="41"/>
        <v/>
      </c>
      <c r="B171" s="262" t="s">
        <v>472</v>
      </c>
      <c r="C171" s="319"/>
      <c r="D171" s="266"/>
      <c r="E171" s="262">
        <v>1</v>
      </c>
      <c r="F171" s="287" t="s">
        <v>79</v>
      </c>
      <c r="G171" s="287"/>
      <c r="H171" s="15" t="s">
        <v>66</v>
      </c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7">
        <f t="shared" si="37"/>
        <v>0</v>
      </c>
      <c r="T171" s="7" t="s">
        <v>493</v>
      </c>
      <c r="U171" s="66">
        <f>2.5*AF$101</f>
        <v>7.5</v>
      </c>
      <c r="V171" s="86">
        <f t="shared" si="42"/>
        <v>0</v>
      </c>
      <c r="W171" s="35">
        <f>Rate!D$9</f>
        <v>38</v>
      </c>
      <c r="X171" s="110">
        <f t="shared" si="32"/>
        <v>0</v>
      </c>
      <c r="Y171" s="110">
        <f t="shared" si="33"/>
        <v>0</v>
      </c>
      <c r="Z171" s="110">
        <f t="shared" si="34"/>
        <v>0</v>
      </c>
      <c r="AA171" s="110">
        <f t="shared" si="43"/>
        <v>0</v>
      </c>
      <c r="AB171" s="110">
        <f t="shared" si="35"/>
        <v>0</v>
      </c>
      <c r="AC171" s="371" t="s">
        <v>163</v>
      </c>
      <c r="AD171" s="371" t="s">
        <v>148</v>
      </c>
      <c r="AE171" s="371" t="s">
        <v>149</v>
      </c>
      <c r="AF171" s="371"/>
    </row>
    <row r="172" spans="1:32" hidden="1" x14ac:dyDescent="0.2">
      <c r="A172" s="14" t="str">
        <f t="shared" si="41"/>
        <v/>
      </c>
      <c r="B172" s="262" t="s">
        <v>472</v>
      </c>
      <c r="C172" s="319"/>
      <c r="D172" s="266"/>
      <c r="E172" s="262">
        <v>1.5</v>
      </c>
      <c r="F172" s="287" t="s">
        <v>79</v>
      </c>
      <c r="G172" s="287"/>
      <c r="H172" s="15" t="s">
        <v>66</v>
      </c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7">
        <f t="shared" si="37"/>
        <v>0</v>
      </c>
      <c r="T172" s="7" t="s">
        <v>493</v>
      </c>
      <c r="U172" s="66">
        <f>3.7*AF$101</f>
        <v>11.100000000000001</v>
      </c>
      <c r="V172" s="86">
        <f t="shared" si="42"/>
        <v>0</v>
      </c>
      <c r="W172" s="35">
        <f>Rate!D$9</f>
        <v>38</v>
      </c>
      <c r="X172" s="110">
        <f t="shared" si="32"/>
        <v>0</v>
      </c>
      <c r="Y172" s="110">
        <f t="shared" si="33"/>
        <v>0</v>
      </c>
      <c r="Z172" s="110">
        <f t="shared" si="34"/>
        <v>0</v>
      </c>
      <c r="AA172" s="110">
        <f t="shared" si="43"/>
        <v>0</v>
      </c>
      <c r="AB172" s="110">
        <f t="shared" si="35"/>
        <v>0</v>
      </c>
      <c r="AC172" s="371" t="s">
        <v>163</v>
      </c>
      <c r="AD172" s="371" t="s">
        <v>148</v>
      </c>
      <c r="AE172" s="371" t="s">
        <v>149</v>
      </c>
      <c r="AF172" s="371"/>
    </row>
    <row r="173" spans="1:32" hidden="1" x14ac:dyDescent="0.2">
      <c r="A173" s="14" t="str">
        <f t="shared" si="41"/>
        <v/>
      </c>
      <c r="B173" s="262" t="s">
        <v>472</v>
      </c>
      <c r="C173" s="319"/>
      <c r="D173" s="266"/>
      <c r="E173" s="262">
        <v>2</v>
      </c>
      <c r="F173" s="287" t="s">
        <v>79</v>
      </c>
      <c r="G173" s="287"/>
      <c r="H173" s="15" t="s">
        <v>66</v>
      </c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7">
        <f t="shared" si="37"/>
        <v>0</v>
      </c>
      <c r="T173" s="7" t="s">
        <v>493</v>
      </c>
      <c r="U173" s="66">
        <f>4.8*AF$101</f>
        <v>14.399999999999999</v>
      </c>
      <c r="V173" s="86">
        <f t="shared" si="42"/>
        <v>0</v>
      </c>
      <c r="W173" s="35">
        <f>Rate!D$9</f>
        <v>38</v>
      </c>
      <c r="X173" s="110">
        <f t="shared" si="32"/>
        <v>0</v>
      </c>
      <c r="Y173" s="110">
        <f t="shared" si="33"/>
        <v>0</v>
      </c>
      <c r="Z173" s="110">
        <f t="shared" si="34"/>
        <v>0</v>
      </c>
      <c r="AA173" s="110">
        <f t="shared" si="43"/>
        <v>0</v>
      </c>
      <c r="AB173" s="110">
        <f t="shared" si="35"/>
        <v>0</v>
      </c>
      <c r="AC173" s="371" t="s">
        <v>163</v>
      </c>
      <c r="AD173" s="371" t="s">
        <v>148</v>
      </c>
      <c r="AE173" s="371" t="s">
        <v>149</v>
      </c>
      <c r="AF173" s="371"/>
    </row>
    <row r="174" spans="1:32" hidden="1" x14ac:dyDescent="0.2">
      <c r="A174" s="14" t="str">
        <f t="shared" si="41"/>
        <v/>
      </c>
      <c r="B174" s="262" t="s">
        <v>472</v>
      </c>
      <c r="C174" s="319"/>
      <c r="D174" s="266"/>
      <c r="E174" s="262">
        <v>3</v>
      </c>
      <c r="F174" s="287" t="s">
        <v>79</v>
      </c>
      <c r="G174" s="287"/>
      <c r="H174" s="15" t="s">
        <v>66</v>
      </c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7">
        <f t="shared" si="37"/>
        <v>0</v>
      </c>
      <c r="T174" s="7" t="s">
        <v>493</v>
      </c>
      <c r="U174" s="66">
        <f>6.8*AF$101</f>
        <v>20.399999999999999</v>
      </c>
      <c r="V174" s="86">
        <f t="shared" si="42"/>
        <v>0</v>
      </c>
      <c r="W174" s="35">
        <f>Rate!D$9</f>
        <v>38</v>
      </c>
      <c r="X174" s="110">
        <f t="shared" si="32"/>
        <v>0</v>
      </c>
      <c r="Y174" s="110">
        <f t="shared" si="33"/>
        <v>0</v>
      </c>
      <c r="Z174" s="110">
        <f t="shared" si="34"/>
        <v>0</v>
      </c>
      <c r="AA174" s="110">
        <f t="shared" si="43"/>
        <v>0</v>
      </c>
      <c r="AB174" s="110">
        <f t="shared" si="35"/>
        <v>0</v>
      </c>
      <c r="AC174" s="371" t="s">
        <v>163</v>
      </c>
      <c r="AD174" s="371" t="s">
        <v>148</v>
      </c>
      <c r="AE174" s="371" t="s">
        <v>149</v>
      </c>
      <c r="AF174" s="371"/>
    </row>
    <row r="175" spans="1:32" hidden="1" x14ac:dyDescent="0.2">
      <c r="A175" s="14" t="str">
        <f t="shared" si="41"/>
        <v/>
      </c>
      <c r="B175" s="262" t="s">
        <v>472</v>
      </c>
      <c r="C175" s="319"/>
      <c r="D175" s="266"/>
      <c r="E175" s="262">
        <v>4</v>
      </c>
      <c r="F175" s="287" t="s">
        <v>79</v>
      </c>
      <c r="G175" s="287"/>
      <c r="H175" s="15" t="s">
        <v>66</v>
      </c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7">
        <f t="shared" si="37"/>
        <v>0</v>
      </c>
      <c r="T175" s="7" t="s">
        <v>493</v>
      </c>
      <c r="U175" s="66">
        <f>8.5*AF$101</f>
        <v>25.5</v>
      </c>
      <c r="V175" s="86">
        <f t="shared" si="42"/>
        <v>0</v>
      </c>
      <c r="W175" s="35">
        <f>Rate!D$9</f>
        <v>38</v>
      </c>
      <c r="X175" s="110">
        <f t="shared" si="32"/>
        <v>0</v>
      </c>
      <c r="Y175" s="110">
        <f t="shared" si="33"/>
        <v>0</v>
      </c>
      <c r="Z175" s="110">
        <f t="shared" si="34"/>
        <v>0</v>
      </c>
      <c r="AA175" s="110">
        <f t="shared" si="43"/>
        <v>0</v>
      </c>
      <c r="AB175" s="110">
        <f t="shared" si="35"/>
        <v>0</v>
      </c>
      <c r="AC175" s="371" t="s">
        <v>163</v>
      </c>
      <c r="AD175" s="371" t="s">
        <v>148</v>
      </c>
      <c r="AE175" s="371" t="s">
        <v>149</v>
      </c>
      <c r="AF175" s="371"/>
    </row>
    <row r="176" spans="1:32" hidden="1" x14ac:dyDescent="0.2">
      <c r="A176" s="14" t="str">
        <f t="shared" si="41"/>
        <v/>
      </c>
      <c r="B176" s="262" t="s">
        <v>472</v>
      </c>
      <c r="C176" s="319"/>
      <c r="D176" s="266"/>
      <c r="E176" s="262">
        <v>6</v>
      </c>
      <c r="F176" s="287" t="s">
        <v>79</v>
      </c>
      <c r="G176" s="287"/>
      <c r="H176" s="15" t="s">
        <v>66</v>
      </c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7">
        <f t="shared" si="37"/>
        <v>0</v>
      </c>
      <c r="T176" s="7" t="s">
        <v>493</v>
      </c>
      <c r="U176" s="66">
        <f>9.9*AF$101</f>
        <v>29.700000000000003</v>
      </c>
      <c r="V176" s="86">
        <f t="shared" si="42"/>
        <v>0</v>
      </c>
      <c r="W176" s="35">
        <f>Rate!D$9</f>
        <v>38</v>
      </c>
      <c r="X176" s="110">
        <f t="shared" si="32"/>
        <v>0</v>
      </c>
      <c r="Y176" s="110">
        <f t="shared" si="33"/>
        <v>0</v>
      </c>
      <c r="Z176" s="110">
        <f t="shared" si="34"/>
        <v>0</v>
      </c>
      <c r="AA176" s="110">
        <f t="shared" si="43"/>
        <v>0</v>
      </c>
      <c r="AB176" s="110">
        <f t="shared" si="35"/>
        <v>0</v>
      </c>
      <c r="AC176" s="371" t="s">
        <v>163</v>
      </c>
      <c r="AD176" s="371" t="s">
        <v>148</v>
      </c>
      <c r="AE176" s="371" t="s">
        <v>149</v>
      </c>
      <c r="AF176" s="371"/>
    </row>
    <row r="177" spans="1:32" hidden="1" x14ac:dyDescent="0.2">
      <c r="A177" s="14" t="str">
        <f t="shared" si="41"/>
        <v/>
      </c>
      <c r="B177" s="262" t="s">
        <v>472</v>
      </c>
      <c r="C177" s="319"/>
      <c r="D177" s="266"/>
      <c r="E177" s="262">
        <v>8</v>
      </c>
      <c r="F177" s="287" t="s">
        <v>79</v>
      </c>
      <c r="G177" s="287"/>
      <c r="H177" s="15" t="s">
        <v>66</v>
      </c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7">
        <f t="shared" si="37"/>
        <v>0</v>
      </c>
      <c r="T177" s="7" t="s">
        <v>493</v>
      </c>
      <c r="U177" s="66">
        <f>10.6*AF$101</f>
        <v>31.799999999999997</v>
      </c>
      <c r="V177" s="86">
        <f t="shared" si="42"/>
        <v>0</v>
      </c>
      <c r="W177" s="35">
        <f>Rate!D$9</f>
        <v>38</v>
      </c>
      <c r="X177" s="110">
        <f t="shared" si="32"/>
        <v>0</v>
      </c>
      <c r="Y177" s="110">
        <f t="shared" si="33"/>
        <v>0</v>
      </c>
      <c r="Z177" s="110">
        <f t="shared" si="34"/>
        <v>0</v>
      </c>
      <c r="AA177" s="110">
        <f t="shared" si="43"/>
        <v>0</v>
      </c>
      <c r="AB177" s="110">
        <f t="shared" si="35"/>
        <v>0</v>
      </c>
      <c r="AC177" s="371" t="s">
        <v>163</v>
      </c>
      <c r="AD177" s="371" t="s">
        <v>148</v>
      </c>
      <c r="AE177" s="371" t="s">
        <v>149</v>
      </c>
      <c r="AF177" s="371"/>
    </row>
    <row r="178" spans="1:32" hidden="1" x14ac:dyDescent="0.2">
      <c r="A178" s="14" t="str">
        <f t="shared" si="41"/>
        <v/>
      </c>
      <c r="B178" s="262" t="s">
        <v>472</v>
      </c>
      <c r="C178" s="319"/>
      <c r="D178" s="266"/>
      <c r="E178" s="262">
        <v>10</v>
      </c>
      <c r="F178" s="287" t="s">
        <v>79</v>
      </c>
      <c r="G178" s="287"/>
      <c r="H178" s="15" t="s">
        <v>66</v>
      </c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7">
        <f t="shared" si="37"/>
        <v>0</v>
      </c>
      <c r="T178" s="7" t="s">
        <v>493</v>
      </c>
      <c r="U178" s="66">
        <f>19.4*AF$101</f>
        <v>58.199999999999996</v>
      </c>
      <c r="V178" s="86">
        <f t="shared" si="42"/>
        <v>0</v>
      </c>
      <c r="W178" s="35">
        <f>Rate!D$9</f>
        <v>38</v>
      </c>
      <c r="X178" s="110">
        <f t="shared" si="32"/>
        <v>0</v>
      </c>
      <c r="Y178" s="110">
        <f t="shared" si="33"/>
        <v>0</v>
      </c>
      <c r="Z178" s="110">
        <f t="shared" si="34"/>
        <v>0</v>
      </c>
      <c r="AA178" s="110">
        <f t="shared" si="43"/>
        <v>0</v>
      </c>
      <c r="AB178" s="110">
        <f t="shared" ref="AB178:AB184" si="44">SUM(X178:AA178)</f>
        <v>0</v>
      </c>
      <c r="AC178" s="371" t="s">
        <v>163</v>
      </c>
      <c r="AD178" s="371" t="s">
        <v>148</v>
      </c>
      <c r="AE178" s="371" t="s">
        <v>149</v>
      </c>
      <c r="AF178" s="371"/>
    </row>
    <row r="179" spans="1:32" hidden="1" x14ac:dyDescent="0.2">
      <c r="A179" s="14" t="str">
        <f t="shared" si="41"/>
        <v/>
      </c>
      <c r="B179" s="262" t="s">
        <v>472</v>
      </c>
      <c r="C179" s="319"/>
      <c r="D179" s="266"/>
      <c r="E179" s="262">
        <v>12</v>
      </c>
      <c r="F179" s="287" t="s">
        <v>79</v>
      </c>
      <c r="G179" s="287"/>
      <c r="H179" s="15" t="s">
        <v>66</v>
      </c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7">
        <f t="shared" ref="S179:S184" si="45">SUM(I179:R179)</f>
        <v>0</v>
      </c>
      <c r="T179" s="7" t="s">
        <v>493</v>
      </c>
      <c r="U179" s="66">
        <f>22.5*AF$101</f>
        <v>67.5</v>
      </c>
      <c r="V179" s="86">
        <f t="shared" si="42"/>
        <v>0</v>
      </c>
      <c r="W179" s="35">
        <f>Rate!D$9</f>
        <v>38</v>
      </c>
      <c r="X179" s="110">
        <f t="shared" si="32"/>
        <v>0</v>
      </c>
      <c r="Y179" s="110">
        <f t="shared" si="33"/>
        <v>0</v>
      </c>
      <c r="Z179" s="110">
        <f t="shared" si="34"/>
        <v>0</v>
      </c>
      <c r="AA179" s="110">
        <f t="shared" si="43"/>
        <v>0</v>
      </c>
      <c r="AB179" s="110">
        <f t="shared" si="44"/>
        <v>0</v>
      </c>
      <c r="AC179" s="371" t="s">
        <v>163</v>
      </c>
      <c r="AD179" s="371" t="s">
        <v>148</v>
      </c>
      <c r="AE179" s="371" t="s">
        <v>149</v>
      </c>
      <c r="AF179" s="371"/>
    </row>
    <row r="180" spans="1:32" hidden="1" x14ac:dyDescent="0.2">
      <c r="A180" s="14" t="str">
        <f t="shared" si="41"/>
        <v/>
      </c>
      <c r="B180" s="262" t="s">
        <v>472</v>
      </c>
      <c r="C180" s="319"/>
      <c r="D180" s="266"/>
      <c r="E180" s="262">
        <v>14</v>
      </c>
      <c r="F180" s="287" t="s">
        <v>79</v>
      </c>
      <c r="G180" s="287"/>
      <c r="H180" s="15" t="s">
        <v>66</v>
      </c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7">
        <f t="shared" si="45"/>
        <v>0</v>
      </c>
      <c r="T180" s="7" t="s">
        <v>493</v>
      </c>
      <c r="U180" s="66">
        <f>26.5*AF$101</f>
        <v>79.5</v>
      </c>
      <c r="V180" s="86">
        <f t="shared" si="42"/>
        <v>0</v>
      </c>
      <c r="W180" s="35">
        <f>Rate!D$9</f>
        <v>38</v>
      </c>
      <c r="X180" s="110">
        <f t="shared" si="32"/>
        <v>0</v>
      </c>
      <c r="Y180" s="110">
        <f t="shared" si="33"/>
        <v>0</v>
      </c>
      <c r="Z180" s="110">
        <f t="shared" si="34"/>
        <v>0</v>
      </c>
      <c r="AA180" s="110">
        <f t="shared" si="43"/>
        <v>0</v>
      </c>
      <c r="AB180" s="110">
        <f t="shared" si="44"/>
        <v>0</v>
      </c>
      <c r="AC180" s="371" t="s">
        <v>163</v>
      </c>
      <c r="AD180" s="371" t="s">
        <v>148</v>
      </c>
      <c r="AE180" s="371" t="s">
        <v>149</v>
      </c>
      <c r="AF180" s="371"/>
    </row>
    <row r="181" spans="1:32" hidden="1" x14ac:dyDescent="0.2">
      <c r="A181" s="14" t="str">
        <f t="shared" si="41"/>
        <v/>
      </c>
      <c r="B181" s="262" t="s">
        <v>472</v>
      </c>
      <c r="C181" s="319"/>
      <c r="D181" s="266"/>
      <c r="E181" s="262">
        <v>16</v>
      </c>
      <c r="F181" s="287" t="s">
        <v>79</v>
      </c>
      <c r="G181" s="287"/>
      <c r="H181" s="15" t="s">
        <v>66</v>
      </c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7">
        <f t="shared" si="45"/>
        <v>0</v>
      </c>
      <c r="T181" s="7" t="s">
        <v>493</v>
      </c>
      <c r="U181" s="66">
        <f>30.4*AF$101</f>
        <v>91.199999999999989</v>
      </c>
      <c r="V181" s="86">
        <f t="shared" si="42"/>
        <v>0</v>
      </c>
      <c r="W181" s="35">
        <f>Rate!D$9</f>
        <v>38</v>
      </c>
      <c r="X181" s="110">
        <f t="shared" si="32"/>
        <v>0</v>
      </c>
      <c r="Y181" s="110">
        <f t="shared" si="33"/>
        <v>0</v>
      </c>
      <c r="Z181" s="110">
        <f t="shared" si="34"/>
        <v>0</v>
      </c>
      <c r="AA181" s="110">
        <f t="shared" si="43"/>
        <v>0</v>
      </c>
      <c r="AB181" s="110">
        <f t="shared" si="44"/>
        <v>0</v>
      </c>
      <c r="AC181" s="371" t="s">
        <v>163</v>
      </c>
      <c r="AD181" s="371" t="s">
        <v>148</v>
      </c>
      <c r="AE181" s="371" t="s">
        <v>149</v>
      </c>
      <c r="AF181" s="371"/>
    </row>
    <row r="182" spans="1:32" hidden="1" x14ac:dyDescent="0.2">
      <c r="A182" s="14" t="str">
        <f t="shared" si="41"/>
        <v/>
      </c>
      <c r="B182" s="262" t="s">
        <v>472</v>
      </c>
      <c r="C182" s="319"/>
      <c r="D182" s="266"/>
      <c r="E182" s="262">
        <v>18</v>
      </c>
      <c r="F182" s="287" t="s">
        <v>79</v>
      </c>
      <c r="G182" s="287"/>
      <c r="H182" s="15" t="s">
        <v>66</v>
      </c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7">
        <f t="shared" si="45"/>
        <v>0</v>
      </c>
      <c r="T182" s="7" t="s">
        <v>493</v>
      </c>
      <c r="U182" s="66">
        <f>36.9*AF$101</f>
        <v>110.69999999999999</v>
      </c>
      <c r="V182" s="86">
        <f t="shared" si="42"/>
        <v>0</v>
      </c>
      <c r="W182" s="35">
        <f>Rate!D$9</f>
        <v>38</v>
      </c>
      <c r="X182" s="110">
        <f t="shared" si="32"/>
        <v>0</v>
      </c>
      <c r="Y182" s="110">
        <f t="shared" si="33"/>
        <v>0</v>
      </c>
      <c r="Z182" s="110">
        <f t="shared" si="34"/>
        <v>0</v>
      </c>
      <c r="AA182" s="110">
        <f t="shared" si="43"/>
        <v>0</v>
      </c>
      <c r="AB182" s="110">
        <f t="shared" si="44"/>
        <v>0</v>
      </c>
      <c r="AC182" s="371" t="s">
        <v>163</v>
      </c>
      <c r="AD182" s="371" t="s">
        <v>148</v>
      </c>
      <c r="AE182" s="371" t="s">
        <v>149</v>
      </c>
      <c r="AF182" s="371"/>
    </row>
    <row r="183" spans="1:32" hidden="1" x14ac:dyDescent="0.2">
      <c r="A183" s="14" t="str">
        <f t="shared" si="41"/>
        <v/>
      </c>
      <c r="B183" s="262" t="s">
        <v>472</v>
      </c>
      <c r="C183" s="319"/>
      <c r="D183" s="266"/>
      <c r="E183" s="262">
        <v>20</v>
      </c>
      <c r="F183" s="287" t="s">
        <v>79</v>
      </c>
      <c r="G183" s="287"/>
      <c r="H183" s="15" t="s">
        <v>66</v>
      </c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7">
        <f t="shared" si="45"/>
        <v>0</v>
      </c>
      <c r="T183" s="7" t="s">
        <v>493</v>
      </c>
      <c r="U183" s="66">
        <f>44.9*AF$101</f>
        <v>134.69999999999999</v>
      </c>
      <c r="V183" s="86">
        <f t="shared" si="42"/>
        <v>0</v>
      </c>
      <c r="W183" s="35">
        <f>Rate!D$9</f>
        <v>38</v>
      </c>
      <c r="X183" s="110">
        <f t="shared" si="32"/>
        <v>0</v>
      </c>
      <c r="Y183" s="110">
        <f t="shared" si="33"/>
        <v>0</v>
      </c>
      <c r="Z183" s="110">
        <f t="shared" si="34"/>
        <v>0</v>
      </c>
      <c r="AA183" s="110">
        <f t="shared" si="43"/>
        <v>0</v>
      </c>
      <c r="AB183" s="110">
        <f t="shared" si="44"/>
        <v>0</v>
      </c>
      <c r="AC183" s="371" t="s">
        <v>163</v>
      </c>
      <c r="AD183" s="371" t="s">
        <v>148</v>
      </c>
      <c r="AE183" s="371" t="s">
        <v>149</v>
      </c>
      <c r="AF183" s="371"/>
    </row>
    <row r="184" spans="1:32" hidden="1" x14ac:dyDescent="0.2">
      <c r="A184" s="14" t="str">
        <f t="shared" si="41"/>
        <v/>
      </c>
      <c r="B184" s="262" t="s">
        <v>472</v>
      </c>
      <c r="C184" s="319"/>
      <c r="D184" s="266"/>
      <c r="E184" s="262">
        <v>24</v>
      </c>
      <c r="F184" s="287" t="s">
        <v>79</v>
      </c>
      <c r="G184" s="287"/>
      <c r="H184" s="15" t="s">
        <v>66</v>
      </c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7">
        <f t="shared" si="45"/>
        <v>0</v>
      </c>
      <c r="T184" s="7" t="s">
        <v>493</v>
      </c>
      <c r="U184" s="66">
        <f>73.3*AF$101</f>
        <v>219.89999999999998</v>
      </c>
      <c r="V184" s="86">
        <f t="shared" si="42"/>
        <v>0</v>
      </c>
      <c r="W184" s="35">
        <f>Rate!D$9</f>
        <v>38</v>
      </c>
      <c r="X184" s="110">
        <f t="shared" si="32"/>
        <v>0</v>
      </c>
      <c r="Y184" s="110">
        <f t="shared" si="33"/>
        <v>0</v>
      </c>
      <c r="Z184" s="110">
        <f t="shared" si="34"/>
        <v>0</v>
      </c>
      <c r="AA184" s="110">
        <f t="shared" si="43"/>
        <v>0</v>
      </c>
      <c r="AB184" s="110">
        <f t="shared" si="44"/>
        <v>0</v>
      </c>
      <c r="AC184" s="371" t="s">
        <v>163</v>
      </c>
      <c r="AD184" s="371" t="s">
        <v>148</v>
      </c>
      <c r="AE184" s="371" t="s">
        <v>149</v>
      </c>
      <c r="AF184" s="371"/>
    </row>
    <row r="185" spans="1:32" ht="13.5" thickBot="1" x14ac:dyDescent="0.25">
      <c r="A185" s="14" t="str">
        <f>IF(SUM(S3:S184)&lt;&gt;0,"X","")</f>
        <v>X</v>
      </c>
      <c r="B185" s="73" t="s">
        <v>646</v>
      </c>
      <c r="C185" s="320" t="s">
        <v>13</v>
      </c>
      <c r="D185" s="189"/>
      <c r="E185" s="189"/>
      <c r="F185" s="296">
        <f>SUM(I3:I184)</f>
        <v>300</v>
      </c>
      <c r="G185" s="296">
        <f>SUM(V3:V184)</f>
        <v>1380</v>
      </c>
      <c r="H185" s="225"/>
      <c r="I185" s="92"/>
      <c r="J185" s="92"/>
      <c r="K185" s="92"/>
      <c r="L185" s="92"/>
      <c r="M185" s="92"/>
      <c r="N185" s="92"/>
      <c r="O185" s="92"/>
      <c r="P185" s="92"/>
      <c r="Q185" s="92"/>
      <c r="R185" s="92"/>
      <c r="S185" s="92" t="s">
        <v>13</v>
      </c>
      <c r="T185" s="92" t="s">
        <v>13</v>
      </c>
      <c r="U185" s="308" t="s">
        <v>13</v>
      </c>
      <c r="V185" s="92" t="s">
        <v>13</v>
      </c>
      <c r="W185" s="92" t="s">
        <v>13</v>
      </c>
      <c r="X185" s="111">
        <f t="shared" si="32"/>
        <v>0</v>
      </c>
      <c r="Y185" s="111">
        <f t="shared" si="33"/>
        <v>0</v>
      </c>
      <c r="Z185" s="111">
        <f t="shared" si="34"/>
        <v>0</v>
      </c>
      <c r="AA185" s="111">
        <f t="shared" si="43"/>
        <v>0</v>
      </c>
      <c r="AB185" s="112"/>
      <c r="AC185" s="373"/>
      <c r="AD185" s="373"/>
      <c r="AE185" s="373"/>
      <c r="AF185" s="373"/>
    </row>
    <row r="186" spans="1:32" ht="13.5" hidden="1" thickBot="1" x14ac:dyDescent="0.25">
      <c r="A186" s="14" t="str">
        <f>IF(SUM(S$187:S$286)&lt;&gt;0,"X","")</f>
        <v/>
      </c>
      <c r="B186" s="198" t="s">
        <v>473</v>
      </c>
      <c r="C186" s="200" t="s">
        <v>13</v>
      </c>
      <c r="D186" s="199"/>
      <c r="E186" s="199" t="s">
        <v>7</v>
      </c>
      <c r="F186" s="199" t="s">
        <v>14</v>
      </c>
      <c r="G186" s="199"/>
      <c r="H186" s="199"/>
      <c r="I186" s="200"/>
      <c r="J186" s="200"/>
      <c r="K186" s="200"/>
      <c r="L186" s="200"/>
      <c r="M186" s="200"/>
      <c r="N186" s="200"/>
      <c r="O186" s="200"/>
      <c r="P186" s="200"/>
      <c r="Q186" s="200"/>
      <c r="R186" s="200"/>
      <c r="S186" s="200"/>
      <c r="T186" s="200"/>
      <c r="U186" s="201"/>
      <c r="V186" s="206"/>
      <c r="W186" s="207"/>
      <c r="X186" s="204">
        <f t="shared" si="32"/>
        <v>0</v>
      </c>
      <c r="Y186" s="204">
        <f t="shared" si="33"/>
        <v>0</v>
      </c>
      <c r="Z186" s="204">
        <f t="shared" si="34"/>
        <v>0</v>
      </c>
      <c r="AA186" s="204">
        <f t="shared" si="43"/>
        <v>0</v>
      </c>
      <c r="AB186" s="205"/>
      <c r="AC186" s="369"/>
      <c r="AD186" s="369"/>
      <c r="AE186" s="369" t="s">
        <v>13</v>
      </c>
      <c r="AF186" s="370">
        <v>1</v>
      </c>
    </row>
    <row r="187" spans="1:32" ht="13.5" hidden="1" thickBot="1" x14ac:dyDescent="0.25">
      <c r="A187" s="14" t="str">
        <f t="shared" ref="A187:A218" si="46">+IF(AB187&lt;&gt;0,"X","")</f>
        <v/>
      </c>
      <c r="B187" s="21" t="s">
        <v>474</v>
      </c>
      <c r="C187" s="18"/>
      <c r="D187" s="244"/>
      <c r="E187" s="279">
        <v>0.5</v>
      </c>
      <c r="F187" s="252">
        <v>150</v>
      </c>
      <c r="G187" s="252"/>
      <c r="H187" s="15" t="s">
        <v>66</v>
      </c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9">
        <f t="shared" ref="S187:S218" si="47">SUM(I187:R187)</f>
        <v>0</v>
      </c>
      <c r="T187" s="19" t="s">
        <v>493</v>
      </c>
      <c r="U187" s="133">
        <f>0.7*AF$186</f>
        <v>0.7</v>
      </c>
      <c r="V187" s="93">
        <f t="shared" ref="V187:V218" si="48">+S187*U187</f>
        <v>0</v>
      </c>
      <c r="W187" s="123">
        <f>Rate!D$3</f>
        <v>34.5</v>
      </c>
      <c r="X187" s="109">
        <f t="shared" si="32"/>
        <v>0</v>
      </c>
      <c r="Y187" s="109">
        <f t="shared" si="33"/>
        <v>0</v>
      </c>
      <c r="Z187" s="109">
        <f t="shared" si="34"/>
        <v>0</v>
      </c>
      <c r="AA187" s="109">
        <f t="shared" si="43"/>
        <v>0</v>
      </c>
      <c r="AB187" s="109">
        <f t="shared" ref="AB187:AB218" si="49">SUM(X187:AA187)</f>
        <v>0</v>
      </c>
      <c r="AC187" s="371" t="s">
        <v>163</v>
      </c>
      <c r="AD187" s="371" t="s">
        <v>148</v>
      </c>
      <c r="AE187" s="371" t="s">
        <v>149</v>
      </c>
      <c r="AF187" s="371"/>
    </row>
    <row r="188" spans="1:32" ht="13.5" hidden="1" thickBot="1" x14ac:dyDescent="0.25">
      <c r="A188" s="14" t="str">
        <f t="shared" si="46"/>
        <v/>
      </c>
      <c r="B188" s="21" t="s">
        <v>474</v>
      </c>
      <c r="C188" s="15"/>
      <c r="D188" s="242"/>
      <c r="E188" s="280">
        <v>0.75</v>
      </c>
      <c r="F188" s="85">
        <v>150</v>
      </c>
      <c r="G188" s="85"/>
      <c r="H188" s="15" t="s">
        <v>66</v>
      </c>
      <c r="I188" s="18"/>
      <c r="J188" s="15"/>
      <c r="K188" s="15"/>
      <c r="L188" s="15"/>
      <c r="M188" s="15"/>
      <c r="N188" s="15"/>
      <c r="O188" s="15"/>
      <c r="P188" s="15"/>
      <c r="Q188" s="15"/>
      <c r="R188" s="15"/>
      <c r="S188" s="19">
        <f t="shared" si="47"/>
        <v>0</v>
      </c>
      <c r="T188" s="7" t="s">
        <v>493</v>
      </c>
      <c r="U188" s="66">
        <f>0.7*AF$186</f>
        <v>0.7</v>
      </c>
      <c r="V188" s="31">
        <f t="shared" si="48"/>
        <v>0</v>
      </c>
      <c r="W188" s="35">
        <f>Rate!D$3</f>
        <v>34.5</v>
      </c>
      <c r="X188" s="110">
        <f t="shared" si="32"/>
        <v>0</v>
      </c>
      <c r="Y188" s="110">
        <f t="shared" si="33"/>
        <v>0</v>
      </c>
      <c r="Z188" s="110">
        <f t="shared" si="34"/>
        <v>0</v>
      </c>
      <c r="AA188" s="110">
        <f t="shared" si="43"/>
        <v>0</v>
      </c>
      <c r="AB188" s="110">
        <f t="shared" si="49"/>
        <v>0</v>
      </c>
      <c r="AC188" s="371" t="s">
        <v>163</v>
      </c>
      <c r="AD188" s="371" t="s">
        <v>148</v>
      </c>
      <c r="AE188" s="371" t="s">
        <v>149</v>
      </c>
      <c r="AF188" s="371"/>
    </row>
    <row r="189" spans="1:32" ht="13.5" hidden="1" thickBot="1" x14ac:dyDescent="0.25">
      <c r="A189" s="14" t="str">
        <f t="shared" si="46"/>
        <v/>
      </c>
      <c r="B189" s="21" t="s">
        <v>474</v>
      </c>
      <c r="C189" s="15"/>
      <c r="D189" s="242"/>
      <c r="E189" s="280">
        <v>1</v>
      </c>
      <c r="F189" s="85">
        <v>150</v>
      </c>
      <c r="G189" s="85"/>
      <c r="H189" s="15" t="s">
        <v>66</v>
      </c>
      <c r="I189" s="18"/>
      <c r="J189" s="15"/>
      <c r="K189" s="15"/>
      <c r="L189" s="15"/>
      <c r="M189" s="15"/>
      <c r="N189" s="15"/>
      <c r="O189" s="15"/>
      <c r="P189" s="15"/>
      <c r="Q189" s="15"/>
      <c r="R189" s="15"/>
      <c r="S189" s="19">
        <f t="shared" si="47"/>
        <v>0</v>
      </c>
      <c r="T189" s="7" t="s">
        <v>493</v>
      </c>
      <c r="U189" s="66">
        <f>0.7*AF$186</f>
        <v>0.7</v>
      </c>
      <c r="V189" s="31">
        <f t="shared" si="48"/>
        <v>0</v>
      </c>
      <c r="W189" s="35">
        <f>Rate!D$3</f>
        <v>34.5</v>
      </c>
      <c r="X189" s="110">
        <f t="shared" si="32"/>
        <v>0</v>
      </c>
      <c r="Y189" s="110">
        <f t="shared" si="33"/>
        <v>0</v>
      </c>
      <c r="Z189" s="110">
        <f t="shared" si="34"/>
        <v>0</v>
      </c>
      <c r="AA189" s="110">
        <f t="shared" si="43"/>
        <v>0</v>
      </c>
      <c r="AB189" s="110">
        <f t="shared" si="49"/>
        <v>0</v>
      </c>
      <c r="AC189" s="371" t="s">
        <v>163</v>
      </c>
      <c r="AD189" s="371" t="s">
        <v>148</v>
      </c>
      <c r="AE189" s="371" t="s">
        <v>149</v>
      </c>
      <c r="AF189" s="371"/>
    </row>
    <row r="190" spans="1:32" ht="13.5" hidden="1" thickBot="1" x14ac:dyDescent="0.25">
      <c r="A190" s="14" t="str">
        <f t="shared" si="46"/>
        <v/>
      </c>
      <c r="B190" s="21" t="s">
        <v>474</v>
      </c>
      <c r="C190" s="15"/>
      <c r="D190" s="242"/>
      <c r="E190" s="280">
        <v>1.5</v>
      </c>
      <c r="F190" s="85">
        <v>150</v>
      </c>
      <c r="G190" s="85"/>
      <c r="H190" s="15" t="s">
        <v>66</v>
      </c>
      <c r="I190" s="18"/>
      <c r="J190" s="15"/>
      <c r="K190" s="15"/>
      <c r="L190" s="15"/>
      <c r="M190" s="15"/>
      <c r="N190" s="15"/>
      <c r="O190" s="15"/>
      <c r="P190" s="15"/>
      <c r="Q190" s="15"/>
      <c r="R190" s="15"/>
      <c r="S190" s="19">
        <f t="shared" si="47"/>
        <v>0</v>
      </c>
      <c r="T190" s="7" t="s">
        <v>493</v>
      </c>
      <c r="U190" s="66">
        <f>0.7*AF$186</f>
        <v>0.7</v>
      </c>
      <c r="V190" s="31">
        <f t="shared" si="48"/>
        <v>0</v>
      </c>
      <c r="W190" s="35">
        <f>Rate!D$3</f>
        <v>34.5</v>
      </c>
      <c r="X190" s="110">
        <f t="shared" si="32"/>
        <v>0</v>
      </c>
      <c r="Y190" s="110">
        <f t="shared" si="33"/>
        <v>0</v>
      </c>
      <c r="Z190" s="110">
        <f t="shared" si="34"/>
        <v>0</v>
      </c>
      <c r="AA190" s="110">
        <f t="shared" si="43"/>
        <v>0</v>
      </c>
      <c r="AB190" s="110">
        <f t="shared" si="49"/>
        <v>0</v>
      </c>
      <c r="AC190" s="371" t="s">
        <v>163</v>
      </c>
      <c r="AD190" s="371" t="s">
        <v>148</v>
      </c>
      <c r="AE190" s="371" t="s">
        <v>149</v>
      </c>
      <c r="AF190" s="371"/>
    </row>
    <row r="191" spans="1:32" ht="13.5" hidden="1" thickBot="1" x14ac:dyDescent="0.25">
      <c r="A191" s="14" t="str">
        <f t="shared" si="46"/>
        <v/>
      </c>
      <c r="B191" s="21" t="s">
        <v>474</v>
      </c>
      <c r="C191" s="15"/>
      <c r="D191" s="242"/>
      <c r="E191" s="280">
        <v>2</v>
      </c>
      <c r="F191" s="85">
        <v>150</v>
      </c>
      <c r="G191" s="85"/>
      <c r="H191" s="15" t="s">
        <v>66</v>
      </c>
      <c r="I191" s="18"/>
      <c r="J191" s="15"/>
      <c r="K191" s="15"/>
      <c r="L191" s="15"/>
      <c r="M191" s="15"/>
      <c r="N191" s="15"/>
      <c r="O191" s="15"/>
      <c r="P191" s="15"/>
      <c r="Q191" s="15"/>
      <c r="R191" s="15"/>
      <c r="S191" s="19">
        <f t="shared" si="47"/>
        <v>0</v>
      </c>
      <c r="T191" s="7" t="s">
        <v>493</v>
      </c>
      <c r="U191" s="66">
        <f>0.7*AF$186</f>
        <v>0.7</v>
      </c>
      <c r="V191" s="31">
        <f t="shared" si="48"/>
        <v>0</v>
      </c>
      <c r="W191" s="35">
        <f>Rate!D$3</f>
        <v>34.5</v>
      </c>
      <c r="X191" s="110">
        <f t="shared" ref="X191:X254" si="50">IF(H191="L",V191*W191,0)</f>
        <v>0</v>
      </c>
      <c r="Y191" s="110">
        <f t="shared" ref="Y191:Y254" si="51">IF(H191="M",S191*W191,0)</f>
        <v>0</v>
      </c>
      <c r="Z191" s="110">
        <f t="shared" ref="Z191:Z254" si="52">IF(H191="S",S191*W191,0)</f>
        <v>0</v>
      </c>
      <c r="AA191" s="110">
        <f t="shared" si="43"/>
        <v>0</v>
      </c>
      <c r="AB191" s="110">
        <f>SUM(X191:AA191)</f>
        <v>0</v>
      </c>
      <c r="AC191" s="371" t="s">
        <v>163</v>
      </c>
      <c r="AD191" s="371" t="s">
        <v>148</v>
      </c>
      <c r="AE191" s="371" t="s">
        <v>149</v>
      </c>
      <c r="AF191" s="371"/>
    </row>
    <row r="192" spans="1:32" ht="13.5" hidden="1" thickBot="1" x14ac:dyDescent="0.25">
      <c r="A192" s="14" t="str">
        <f t="shared" si="46"/>
        <v/>
      </c>
      <c r="B192" s="21" t="s">
        <v>474</v>
      </c>
      <c r="C192" s="15"/>
      <c r="D192" s="242"/>
      <c r="E192" s="280">
        <v>3</v>
      </c>
      <c r="F192" s="85">
        <v>150</v>
      </c>
      <c r="G192" s="85"/>
      <c r="H192" s="15" t="s">
        <v>66</v>
      </c>
      <c r="I192" s="18"/>
      <c r="J192" s="15"/>
      <c r="K192" s="15"/>
      <c r="L192" s="15"/>
      <c r="M192" s="15"/>
      <c r="N192" s="15"/>
      <c r="O192" s="15"/>
      <c r="P192" s="15"/>
      <c r="Q192" s="15"/>
      <c r="R192" s="15"/>
      <c r="S192" s="19">
        <f t="shared" si="47"/>
        <v>0</v>
      </c>
      <c r="T192" s="7" t="s">
        <v>493</v>
      </c>
      <c r="U192" s="66">
        <f>0.8*AF$186</f>
        <v>0.8</v>
      </c>
      <c r="V192" s="31">
        <f t="shared" si="48"/>
        <v>0</v>
      </c>
      <c r="W192" s="35">
        <f>Rate!D$3</f>
        <v>34.5</v>
      </c>
      <c r="X192" s="110">
        <f t="shared" si="50"/>
        <v>0</v>
      </c>
      <c r="Y192" s="110">
        <f t="shared" si="51"/>
        <v>0</v>
      </c>
      <c r="Z192" s="110">
        <f t="shared" si="52"/>
        <v>0</v>
      </c>
      <c r="AA192" s="110">
        <f t="shared" si="43"/>
        <v>0</v>
      </c>
      <c r="AB192" s="110">
        <f t="shared" si="49"/>
        <v>0</v>
      </c>
      <c r="AC192" s="371" t="s">
        <v>163</v>
      </c>
      <c r="AD192" s="371" t="s">
        <v>148</v>
      </c>
      <c r="AE192" s="371" t="s">
        <v>149</v>
      </c>
      <c r="AF192" s="371"/>
    </row>
    <row r="193" spans="1:32" ht="13.5" hidden="1" thickBot="1" x14ac:dyDescent="0.25">
      <c r="A193" s="14" t="str">
        <f t="shared" si="46"/>
        <v/>
      </c>
      <c r="B193" s="21" t="s">
        <v>474</v>
      </c>
      <c r="C193" s="15"/>
      <c r="D193" s="242"/>
      <c r="E193" s="280">
        <v>4</v>
      </c>
      <c r="F193" s="85">
        <v>150</v>
      </c>
      <c r="G193" s="85"/>
      <c r="H193" s="15" t="s">
        <v>66</v>
      </c>
      <c r="I193" s="18"/>
      <c r="J193" s="15"/>
      <c r="K193" s="15"/>
      <c r="L193" s="15"/>
      <c r="M193" s="15"/>
      <c r="N193" s="15"/>
      <c r="O193" s="15"/>
      <c r="P193" s="15"/>
      <c r="Q193" s="15"/>
      <c r="R193" s="15"/>
      <c r="S193" s="19">
        <f t="shared" si="47"/>
        <v>0</v>
      </c>
      <c r="T193" s="7" t="s">
        <v>493</v>
      </c>
      <c r="U193" s="66">
        <f>1.2*AF$186</f>
        <v>1.2</v>
      </c>
      <c r="V193" s="31">
        <f t="shared" si="48"/>
        <v>0</v>
      </c>
      <c r="W193" s="35">
        <f>Rate!D$3</f>
        <v>34.5</v>
      </c>
      <c r="X193" s="110">
        <f t="shared" si="50"/>
        <v>0</v>
      </c>
      <c r="Y193" s="110">
        <f t="shared" si="51"/>
        <v>0</v>
      </c>
      <c r="Z193" s="110">
        <f t="shared" si="52"/>
        <v>0</v>
      </c>
      <c r="AA193" s="110">
        <f t="shared" si="43"/>
        <v>0</v>
      </c>
      <c r="AB193" s="110">
        <f t="shared" si="49"/>
        <v>0</v>
      </c>
      <c r="AC193" s="371" t="s">
        <v>163</v>
      </c>
      <c r="AD193" s="371" t="s">
        <v>148</v>
      </c>
      <c r="AE193" s="371" t="s">
        <v>149</v>
      </c>
      <c r="AF193" s="371"/>
    </row>
    <row r="194" spans="1:32" ht="13.5" hidden="1" thickBot="1" x14ac:dyDescent="0.25">
      <c r="A194" s="14" t="str">
        <f t="shared" si="46"/>
        <v/>
      </c>
      <c r="B194" s="21" t="s">
        <v>474</v>
      </c>
      <c r="C194" s="15"/>
      <c r="D194" s="242"/>
      <c r="E194" s="280">
        <v>6</v>
      </c>
      <c r="F194" s="85">
        <v>150</v>
      </c>
      <c r="G194" s="85"/>
      <c r="H194" s="15" t="s">
        <v>66</v>
      </c>
      <c r="I194" s="18"/>
      <c r="J194" s="15"/>
      <c r="K194" s="15"/>
      <c r="L194" s="15"/>
      <c r="M194" s="15"/>
      <c r="N194" s="15"/>
      <c r="O194" s="15"/>
      <c r="P194" s="15"/>
      <c r="Q194" s="15"/>
      <c r="R194" s="15"/>
      <c r="S194" s="19">
        <f t="shared" si="47"/>
        <v>0</v>
      </c>
      <c r="T194" s="7" t="s">
        <v>493</v>
      </c>
      <c r="U194" s="66">
        <f>1.5*AF$186</f>
        <v>1.5</v>
      </c>
      <c r="V194" s="31">
        <f t="shared" si="48"/>
        <v>0</v>
      </c>
      <c r="W194" s="35">
        <f>Rate!D$3</f>
        <v>34.5</v>
      </c>
      <c r="X194" s="110">
        <f t="shared" si="50"/>
        <v>0</v>
      </c>
      <c r="Y194" s="110">
        <f t="shared" si="51"/>
        <v>0</v>
      </c>
      <c r="Z194" s="110">
        <f t="shared" si="52"/>
        <v>0</v>
      </c>
      <c r="AA194" s="110">
        <f t="shared" si="43"/>
        <v>0</v>
      </c>
      <c r="AB194" s="110">
        <f t="shared" si="49"/>
        <v>0</v>
      </c>
      <c r="AC194" s="371" t="s">
        <v>163</v>
      </c>
      <c r="AD194" s="371" t="s">
        <v>148</v>
      </c>
      <c r="AE194" s="371" t="s">
        <v>149</v>
      </c>
      <c r="AF194" s="371"/>
    </row>
    <row r="195" spans="1:32" ht="13.5" hidden="1" thickBot="1" x14ac:dyDescent="0.25">
      <c r="A195" s="14" t="str">
        <f t="shared" si="46"/>
        <v/>
      </c>
      <c r="B195" s="21" t="s">
        <v>474</v>
      </c>
      <c r="C195" s="15"/>
      <c r="D195" s="242"/>
      <c r="E195" s="280">
        <v>8</v>
      </c>
      <c r="F195" s="85">
        <v>150</v>
      </c>
      <c r="G195" s="85"/>
      <c r="H195" s="15" t="s">
        <v>66</v>
      </c>
      <c r="I195" s="18"/>
      <c r="J195" s="15"/>
      <c r="K195" s="15"/>
      <c r="L195" s="15"/>
      <c r="M195" s="15"/>
      <c r="N195" s="15"/>
      <c r="O195" s="15"/>
      <c r="P195" s="15"/>
      <c r="Q195" s="15"/>
      <c r="R195" s="15"/>
      <c r="S195" s="19">
        <f t="shared" si="47"/>
        <v>0</v>
      </c>
      <c r="T195" s="7" t="s">
        <v>493</v>
      </c>
      <c r="U195" s="66">
        <f>2.1*AF$186</f>
        <v>2.1</v>
      </c>
      <c r="V195" s="31">
        <f t="shared" si="48"/>
        <v>0</v>
      </c>
      <c r="W195" s="35">
        <f>Rate!D$3</f>
        <v>34.5</v>
      </c>
      <c r="X195" s="110">
        <f t="shared" si="50"/>
        <v>0</v>
      </c>
      <c r="Y195" s="110">
        <f t="shared" si="51"/>
        <v>0</v>
      </c>
      <c r="Z195" s="110">
        <f t="shared" si="52"/>
        <v>0</v>
      </c>
      <c r="AA195" s="110">
        <f t="shared" si="43"/>
        <v>0</v>
      </c>
      <c r="AB195" s="110">
        <f>SUM(X195:AA195)</f>
        <v>0</v>
      </c>
      <c r="AC195" s="371" t="s">
        <v>163</v>
      </c>
      <c r="AD195" s="371" t="s">
        <v>148</v>
      </c>
      <c r="AE195" s="371" t="s">
        <v>149</v>
      </c>
      <c r="AF195" s="371"/>
    </row>
    <row r="196" spans="1:32" ht="13.5" hidden="1" thickBot="1" x14ac:dyDescent="0.25">
      <c r="A196" s="14" t="str">
        <f t="shared" si="46"/>
        <v/>
      </c>
      <c r="B196" s="21" t="s">
        <v>474</v>
      </c>
      <c r="C196" s="15"/>
      <c r="D196" s="242"/>
      <c r="E196" s="280">
        <v>10</v>
      </c>
      <c r="F196" s="85">
        <v>150</v>
      </c>
      <c r="G196" s="85"/>
      <c r="H196" s="15" t="s">
        <v>66</v>
      </c>
      <c r="I196" s="18"/>
      <c r="J196" s="15"/>
      <c r="K196" s="15"/>
      <c r="L196" s="15"/>
      <c r="M196" s="15"/>
      <c r="N196" s="15"/>
      <c r="O196" s="15"/>
      <c r="P196" s="15"/>
      <c r="Q196" s="15"/>
      <c r="R196" s="15"/>
      <c r="S196" s="19">
        <f t="shared" si="47"/>
        <v>0</v>
      </c>
      <c r="T196" s="7" t="s">
        <v>493</v>
      </c>
      <c r="U196" s="66">
        <f>2.7*AF$186</f>
        <v>2.7</v>
      </c>
      <c r="V196" s="31">
        <f t="shared" si="48"/>
        <v>0</v>
      </c>
      <c r="W196" s="35">
        <f>Rate!D$3</f>
        <v>34.5</v>
      </c>
      <c r="X196" s="110">
        <f t="shared" si="50"/>
        <v>0</v>
      </c>
      <c r="Y196" s="110">
        <f t="shared" si="51"/>
        <v>0</v>
      </c>
      <c r="Z196" s="110">
        <f t="shared" si="52"/>
        <v>0</v>
      </c>
      <c r="AA196" s="110">
        <f t="shared" si="43"/>
        <v>0</v>
      </c>
      <c r="AB196" s="110">
        <f t="shared" si="49"/>
        <v>0</v>
      </c>
      <c r="AC196" s="371" t="s">
        <v>163</v>
      </c>
      <c r="AD196" s="371" t="s">
        <v>148</v>
      </c>
      <c r="AE196" s="371" t="s">
        <v>149</v>
      </c>
      <c r="AF196" s="371"/>
    </row>
    <row r="197" spans="1:32" ht="13.5" hidden="1" thickBot="1" x14ac:dyDescent="0.25">
      <c r="A197" s="14" t="str">
        <f t="shared" si="46"/>
        <v/>
      </c>
      <c r="B197" s="21" t="s">
        <v>474</v>
      </c>
      <c r="C197" s="15"/>
      <c r="D197" s="242"/>
      <c r="E197" s="280">
        <v>12</v>
      </c>
      <c r="F197" s="85">
        <v>150</v>
      </c>
      <c r="G197" s="85"/>
      <c r="H197" s="15" t="s">
        <v>66</v>
      </c>
      <c r="I197" s="18"/>
      <c r="J197" s="15"/>
      <c r="K197" s="15"/>
      <c r="L197" s="15"/>
      <c r="M197" s="15"/>
      <c r="N197" s="15"/>
      <c r="O197" s="15"/>
      <c r="P197" s="15"/>
      <c r="Q197" s="15"/>
      <c r="R197" s="15"/>
      <c r="S197" s="19">
        <f t="shared" si="47"/>
        <v>0</v>
      </c>
      <c r="T197" s="7" t="s">
        <v>493</v>
      </c>
      <c r="U197" s="66">
        <f>3.4*AF$186</f>
        <v>3.4</v>
      </c>
      <c r="V197" s="31">
        <f t="shared" si="48"/>
        <v>0</v>
      </c>
      <c r="W197" s="35">
        <f>Rate!D$3</f>
        <v>34.5</v>
      </c>
      <c r="X197" s="110">
        <f t="shared" si="50"/>
        <v>0</v>
      </c>
      <c r="Y197" s="110">
        <f t="shared" si="51"/>
        <v>0</v>
      </c>
      <c r="Z197" s="110">
        <f t="shared" si="52"/>
        <v>0</v>
      </c>
      <c r="AA197" s="110">
        <f t="shared" si="43"/>
        <v>0</v>
      </c>
      <c r="AB197" s="110">
        <f t="shared" si="49"/>
        <v>0</v>
      </c>
      <c r="AC197" s="371" t="s">
        <v>163</v>
      </c>
      <c r="AD197" s="371" t="s">
        <v>148</v>
      </c>
      <c r="AE197" s="371" t="s">
        <v>149</v>
      </c>
      <c r="AF197" s="371"/>
    </row>
    <row r="198" spans="1:32" ht="13.5" hidden="1" thickBot="1" x14ac:dyDescent="0.25">
      <c r="A198" s="14" t="str">
        <f t="shared" si="46"/>
        <v/>
      </c>
      <c r="B198" s="21" t="s">
        <v>474</v>
      </c>
      <c r="C198" s="15"/>
      <c r="D198" s="242"/>
      <c r="E198" s="280">
        <v>14</v>
      </c>
      <c r="F198" s="85">
        <v>150</v>
      </c>
      <c r="G198" s="85"/>
      <c r="H198" s="15" t="s">
        <v>66</v>
      </c>
      <c r="I198" s="18"/>
      <c r="J198" s="15"/>
      <c r="K198" s="15"/>
      <c r="L198" s="15"/>
      <c r="M198" s="15"/>
      <c r="N198" s="15"/>
      <c r="O198" s="15"/>
      <c r="P198" s="15"/>
      <c r="Q198" s="15"/>
      <c r="R198" s="15"/>
      <c r="S198" s="19">
        <f t="shared" si="47"/>
        <v>0</v>
      </c>
      <c r="T198" s="7" t="s">
        <v>493</v>
      </c>
      <c r="U198" s="66">
        <f>3.8*AF$186</f>
        <v>3.8</v>
      </c>
      <c r="V198" s="31">
        <f t="shared" si="48"/>
        <v>0</v>
      </c>
      <c r="W198" s="35">
        <f>Rate!D$3</f>
        <v>34.5</v>
      </c>
      <c r="X198" s="110">
        <f t="shared" si="50"/>
        <v>0</v>
      </c>
      <c r="Y198" s="110">
        <f t="shared" si="51"/>
        <v>0</v>
      </c>
      <c r="Z198" s="110">
        <f t="shared" si="52"/>
        <v>0</v>
      </c>
      <c r="AA198" s="110">
        <f t="shared" si="43"/>
        <v>0</v>
      </c>
      <c r="AB198" s="110">
        <f t="shared" si="49"/>
        <v>0</v>
      </c>
      <c r="AC198" s="371" t="s">
        <v>163</v>
      </c>
      <c r="AD198" s="371" t="s">
        <v>148</v>
      </c>
      <c r="AE198" s="371" t="s">
        <v>149</v>
      </c>
      <c r="AF198" s="371"/>
    </row>
    <row r="199" spans="1:32" ht="13.5" hidden="1" thickBot="1" x14ac:dyDescent="0.25">
      <c r="A199" s="14" t="str">
        <f t="shared" si="46"/>
        <v/>
      </c>
      <c r="B199" s="21" t="s">
        <v>474</v>
      </c>
      <c r="C199" s="15"/>
      <c r="D199" s="242"/>
      <c r="E199" s="280">
        <v>16</v>
      </c>
      <c r="F199" s="85">
        <v>150</v>
      </c>
      <c r="G199" s="85"/>
      <c r="H199" s="15" t="s">
        <v>66</v>
      </c>
      <c r="I199" s="18"/>
      <c r="J199" s="15"/>
      <c r="K199" s="15"/>
      <c r="L199" s="15"/>
      <c r="M199" s="15"/>
      <c r="N199" s="15"/>
      <c r="O199" s="15"/>
      <c r="P199" s="15"/>
      <c r="Q199" s="15"/>
      <c r="R199" s="15"/>
      <c r="S199" s="19">
        <f t="shared" si="47"/>
        <v>0</v>
      </c>
      <c r="T199" s="7" t="s">
        <v>493</v>
      </c>
      <c r="U199" s="66">
        <f>4.4*AF$186</f>
        <v>4.4000000000000004</v>
      </c>
      <c r="V199" s="31">
        <f t="shared" si="48"/>
        <v>0</v>
      </c>
      <c r="W199" s="35">
        <f>Rate!D$3</f>
        <v>34.5</v>
      </c>
      <c r="X199" s="110">
        <f t="shared" si="50"/>
        <v>0</v>
      </c>
      <c r="Y199" s="110">
        <f t="shared" si="51"/>
        <v>0</v>
      </c>
      <c r="Z199" s="110">
        <f t="shared" si="52"/>
        <v>0</v>
      </c>
      <c r="AA199" s="110">
        <f t="shared" si="43"/>
        <v>0</v>
      </c>
      <c r="AB199" s="110">
        <f t="shared" si="49"/>
        <v>0</v>
      </c>
      <c r="AC199" s="371" t="s">
        <v>163</v>
      </c>
      <c r="AD199" s="371" t="s">
        <v>148</v>
      </c>
      <c r="AE199" s="371" t="s">
        <v>149</v>
      </c>
      <c r="AF199" s="371"/>
    </row>
    <row r="200" spans="1:32" ht="13.5" hidden="1" thickBot="1" x14ac:dyDescent="0.25">
      <c r="A200" s="14" t="str">
        <f t="shared" si="46"/>
        <v/>
      </c>
      <c r="B200" s="21" t="s">
        <v>474</v>
      </c>
      <c r="C200" s="15"/>
      <c r="D200" s="242"/>
      <c r="E200" s="280">
        <v>18</v>
      </c>
      <c r="F200" s="85">
        <v>150</v>
      </c>
      <c r="G200" s="85"/>
      <c r="H200" s="15" t="s">
        <v>66</v>
      </c>
      <c r="I200" s="18"/>
      <c r="J200" s="15"/>
      <c r="K200" s="15"/>
      <c r="L200" s="15"/>
      <c r="M200" s="15"/>
      <c r="N200" s="15"/>
      <c r="O200" s="15"/>
      <c r="P200" s="15"/>
      <c r="Q200" s="15"/>
      <c r="R200" s="15"/>
      <c r="S200" s="19">
        <f t="shared" si="47"/>
        <v>0</v>
      </c>
      <c r="T200" s="7" t="s">
        <v>493</v>
      </c>
      <c r="U200" s="66">
        <f>4.8*AF$186</f>
        <v>4.8</v>
      </c>
      <c r="V200" s="31">
        <f t="shared" si="48"/>
        <v>0</v>
      </c>
      <c r="W200" s="35">
        <f>Rate!D$3</f>
        <v>34.5</v>
      </c>
      <c r="X200" s="110">
        <f t="shared" si="50"/>
        <v>0</v>
      </c>
      <c r="Y200" s="110">
        <f t="shared" si="51"/>
        <v>0</v>
      </c>
      <c r="Z200" s="110">
        <f t="shared" si="52"/>
        <v>0</v>
      </c>
      <c r="AA200" s="110">
        <f t="shared" si="43"/>
        <v>0</v>
      </c>
      <c r="AB200" s="110">
        <f t="shared" si="49"/>
        <v>0</v>
      </c>
      <c r="AC200" s="371" t="s">
        <v>163</v>
      </c>
      <c r="AD200" s="371" t="s">
        <v>148</v>
      </c>
      <c r="AE200" s="371" t="s">
        <v>149</v>
      </c>
      <c r="AF200" s="371"/>
    </row>
    <row r="201" spans="1:32" ht="13.5" hidden="1" thickBot="1" x14ac:dyDescent="0.25">
      <c r="A201" s="14" t="str">
        <f t="shared" si="46"/>
        <v/>
      </c>
      <c r="B201" s="21" t="s">
        <v>474</v>
      </c>
      <c r="C201" s="15"/>
      <c r="D201" s="242"/>
      <c r="E201" s="280">
        <v>20</v>
      </c>
      <c r="F201" s="85">
        <v>150</v>
      </c>
      <c r="G201" s="85"/>
      <c r="H201" s="15" t="s">
        <v>66</v>
      </c>
      <c r="I201" s="18"/>
      <c r="J201" s="15"/>
      <c r="K201" s="15"/>
      <c r="L201" s="15"/>
      <c r="M201" s="15"/>
      <c r="N201" s="15"/>
      <c r="O201" s="15"/>
      <c r="P201" s="15"/>
      <c r="Q201" s="15"/>
      <c r="R201" s="15"/>
      <c r="S201" s="19">
        <f t="shared" si="47"/>
        <v>0</v>
      </c>
      <c r="T201" s="7" t="s">
        <v>493</v>
      </c>
      <c r="U201" s="66">
        <f>5.5*AF$186</f>
        <v>5.5</v>
      </c>
      <c r="V201" s="31">
        <f t="shared" si="48"/>
        <v>0</v>
      </c>
      <c r="W201" s="35">
        <f>Rate!D$3</f>
        <v>34.5</v>
      </c>
      <c r="X201" s="110">
        <f t="shared" si="50"/>
        <v>0</v>
      </c>
      <c r="Y201" s="110">
        <f t="shared" si="51"/>
        <v>0</v>
      </c>
      <c r="Z201" s="110">
        <f t="shared" si="52"/>
        <v>0</v>
      </c>
      <c r="AA201" s="110">
        <f t="shared" si="43"/>
        <v>0</v>
      </c>
      <c r="AB201" s="110">
        <f t="shared" si="49"/>
        <v>0</v>
      </c>
      <c r="AC201" s="371" t="s">
        <v>163</v>
      </c>
      <c r="AD201" s="371" t="s">
        <v>148</v>
      </c>
      <c r="AE201" s="371" t="s">
        <v>149</v>
      </c>
      <c r="AF201" s="371"/>
    </row>
    <row r="202" spans="1:32" ht="13.5" hidden="1" thickBot="1" x14ac:dyDescent="0.25">
      <c r="A202" s="14" t="str">
        <f t="shared" si="46"/>
        <v/>
      </c>
      <c r="B202" s="21" t="s">
        <v>474</v>
      </c>
      <c r="C202" s="15"/>
      <c r="D202" s="242"/>
      <c r="E202" s="280">
        <v>24</v>
      </c>
      <c r="F202" s="85">
        <v>150</v>
      </c>
      <c r="G202" s="85"/>
      <c r="H202" s="15" t="s">
        <v>66</v>
      </c>
      <c r="I202" s="18"/>
      <c r="J202" s="15"/>
      <c r="K202" s="15"/>
      <c r="L202" s="15"/>
      <c r="M202" s="15"/>
      <c r="N202" s="15"/>
      <c r="O202" s="15"/>
      <c r="P202" s="15"/>
      <c r="Q202" s="15"/>
      <c r="R202" s="15"/>
      <c r="S202" s="19">
        <f t="shared" si="47"/>
        <v>0</v>
      </c>
      <c r="T202" s="7" t="s">
        <v>493</v>
      </c>
      <c r="U202" s="66">
        <f>6.6*AF$186</f>
        <v>6.6</v>
      </c>
      <c r="V202" s="31">
        <f t="shared" si="48"/>
        <v>0</v>
      </c>
      <c r="W202" s="35">
        <f>Rate!D$3</f>
        <v>34.5</v>
      </c>
      <c r="X202" s="110">
        <f t="shared" si="50"/>
        <v>0</v>
      </c>
      <c r="Y202" s="110">
        <f t="shared" si="51"/>
        <v>0</v>
      </c>
      <c r="Z202" s="110">
        <f t="shared" si="52"/>
        <v>0</v>
      </c>
      <c r="AA202" s="110">
        <f t="shared" si="43"/>
        <v>0</v>
      </c>
      <c r="AB202" s="110">
        <f t="shared" si="49"/>
        <v>0</v>
      </c>
      <c r="AC202" s="371" t="s">
        <v>163</v>
      </c>
      <c r="AD202" s="371" t="s">
        <v>148</v>
      </c>
      <c r="AE202" s="371" t="s">
        <v>149</v>
      </c>
      <c r="AF202" s="371"/>
    </row>
    <row r="203" spans="1:32" ht="13.5" hidden="1" thickBot="1" x14ac:dyDescent="0.25">
      <c r="A203" s="14" t="str">
        <f t="shared" si="46"/>
        <v/>
      </c>
      <c r="B203" s="21" t="s">
        <v>474</v>
      </c>
      <c r="C203" s="15"/>
      <c r="D203" s="242"/>
      <c r="E203" s="280">
        <v>30</v>
      </c>
      <c r="F203" s="85">
        <v>150</v>
      </c>
      <c r="G203" s="85"/>
      <c r="H203" s="15" t="s">
        <v>66</v>
      </c>
      <c r="I203" s="18"/>
      <c r="J203" s="15"/>
      <c r="K203" s="15"/>
      <c r="L203" s="15"/>
      <c r="M203" s="15"/>
      <c r="N203" s="15"/>
      <c r="O203" s="15"/>
      <c r="P203" s="15"/>
      <c r="Q203" s="15"/>
      <c r="R203" s="15"/>
      <c r="S203" s="19">
        <f t="shared" si="47"/>
        <v>0</v>
      </c>
      <c r="T203" s="7" t="s">
        <v>493</v>
      </c>
      <c r="U203" s="66">
        <f>7.8*AF$186</f>
        <v>7.8</v>
      </c>
      <c r="V203" s="31">
        <f t="shared" si="48"/>
        <v>0</v>
      </c>
      <c r="W203" s="35">
        <f>Rate!D$3</f>
        <v>34.5</v>
      </c>
      <c r="X203" s="110">
        <f t="shared" si="50"/>
        <v>0</v>
      </c>
      <c r="Y203" s="110">
        <f t="shared" si="51"/>
        <v>0</v>
      </c>
      <c r="Z203" s="110">
        <f t="shared" si="52"/>
        <v>0</v>
      </c>
      <c r="AA203" s="110">
        <f t="shared" si="43"/>
        <v>0</v>
      </c>
      <c r="AB203" s="110">
        <f t="shared" si="49"/>
        <v>0</v>
      </c>
      <c r="AC203" s="371" t="s">
        <v>163</v>
      </c>
      <c r="AD203" s="371" t="s">
        <v>148</v>
      </c>
      <c r="AE203" s="371" t="s">
        <v>149</v>
      </c>
      <c r="AF203" s="371"/>
    </row>
    <row r="204" spans="1:32" ht="13.5" hidden="1" thickBot="1" x14ac:dyDescent="0.25">
      <c r="A204" s="14" t="str">
        <f t="shared" si="46"/>
        <v/>
      </c>
      <c r="B204" s="21" t="s">
        <v>474</v>
      </c>
      <c r="C204" s="15"/>
      <c r="D204" s="242"/>
      <c r="E204" s="280">
        <v>36</v>
      </c>
      <c r="F204" s="85">
        <v>150</v>
      </c>
      <c r="G204" s="85"/>
      <c r="H204" s="15" t="s">
        <v>66</v>
      </c>
      <c r="I204" s="18"/>
      <c r="J204" s="15"/>
      <c r="K204" s="15"/>
      <c r="L204" s="15"/>
      <c r="M204" s="15"/>
      <c r="N204" s="15"/>
      <c r="O204" s="15"/>
      <c r="P204" s="15"/>
      <c r="Q204" s="15"/>
      <c r="R204" s="15"/>
      <c r="S204" s="19">
        <f t="shared" si="47"/>
        <v>0</v>
      </c>
      <c r="T204" s="7" t="s">
        <v>493</v>
      </c>
      <c r="U204" s="66">
        <f>9*AF$186</f>
        <v>9</v>
      </c>
      <c r="V204" s="31">
        <f t="shared" si="48"/>
        <v>0</v>
      </c>
      <c r="W204" s="35">
        <f>Rate!D$3</f>
        <v>34.5</v>
      </c>
      <c r="X204" s="110">
        <f t="shared" si="50"/>
        <v>0</v>
      </c>
      <c r="Y204" s="110">
        <f t="shared" si="51"/>
        <v>0</v>
      </c>
      <c r="Z204" s="110">
        <f t="shared" si="52"/>
        <v>0</v>
      </c>
      <c r="AA204" s="110">
        <f t="shared" si="43"/>
        <v>0</v>
      </c>
      <c r="AB204" s="110">
        <f t="shared" si="49"/>
        <v>0</v>
      </c>
      <c r="AC204" s="371" t="s">
        <v>163</v>
      </c>
      <c r="AD204" s="371" t="s">
        <v>148</v>
      </c>
      <c r="AE204" s="371" t="s">
        <v>149</v>
      </c>
      <c r="AF204" s="371"/>
    </row>
    <row r="205" spans="1:32" ht="13.5" hidden="1" thickBot="1" x14ac:dyDescent="0.25">
      <c r="A205" s="14" t="str">
        <f t="shared" si="46"/>
        <v/>
      </c>
      <c r="B205" s="21" t="s">
        <v>474</v>
      </c>
      <c r="C205" s="15"/>
      <c r="D205" s="242"/>
      <c r="E205" s="280">
        <v>48</v>
      </c>
      <c r="F205" s="85">
        <v>150</v>
      </c>
      <c r="G205" s="85"/>
      <c r="H205" s="15" t="s">
        <v>66</v>
      </c>
      <c r="I205" s="18"/>
      <c r="J205" s="15"/>
      <c r="K205" s="15"/>
      <c r="L205" s="15"/>
      <c r="M205" s="15"/>
      <c r="N205" s="15"/>
      <c r="O205" s="15"/>
      <c r="P205" s="15"/>
      <c r="Q205" s="15"/>
      <c r="R205" s="15"/>
      <c r="S205" s="19">
        <f t="shared" si="47"/>
        <v>0</v>
      </c>
      <c r="T205" s="7" t="s">
        <v>493</v>
      </c>
      <c r="U205" s="66">
        <f>13*AF$186</f>
        <v>13</v>
      </c>
      <c r="V205" s="31">
        <f t="shared" si="48"/>
        <v>0</v>
      </c>
      <c r="W205" s="35">
        <f>Rate!D$3</f>
        <v>34.5</v>
      </c>
      <c r="X205" s="110">
        <f t="shared" si="50"/>
        <v>0</v>
      </c>
      <c r="Y205" s="110">
        <f t="shared" si="51"/>
        <v>0</v>
      </c>
      <c r="Z205" s="110">
        <f t="shared" si="52"/>
        <v>0</v>
      </c>
      <c r="AA205" s="110">
        <f t="shared" si="43"/>
        <v>0</v>
      </c>
      <c r="AB205" s="110">
        <f t="shared" si="49"/>
        <v>0</v>
      </c>
      <c r="AC205" s="371" t="s">
        <v>163</v>
      </c>
      <c r="AD205" s="371" t="s">
        <v>148</v>
      </c>
      <c r="AE205" s="371" t="s">
        <v>149</v>
      </c>
      <c r="AF205" s="371"/>
    </row>
    <row r="206" spans="1:32" ht="13.5" hidden="1" thickBot="1" x14ac:dyDescent="0.25">
      <c r="A206" s="14" t="str">
        <f t="shared" si="46"/>
        <v/>
      </c>
      <c r="B206" s="21" t="s">
        <v>474</v>
      </c>
      <c r="C206" s="15"/>
      <c r="D206" s="242"/>
      <c r="E206" s="280">
        <v>0.5</v>
      </c>
      <c r="F206" s="85">
        <v>300</v>
      </c>
      <c r="G206" s="85"/>
      <c r="H206" s="15" t="s">
        <v>66</v>
      </c>
      <c r="I206" s="18"/>
      <c r="J206" s="15"/>
      <c r="K206" s="15"/>
      <c r="L206" s="15"/>
      <c r="M206" s="15"/>
      <c r="N206" s="15"/>
      <c r="O206" s="15"/>
      <c r="P206" s="15"/>
      <c r="Q206" s="15"/>
      <c r="R206" s="15"/>
      <c r="S206" s="19">
        <f t="shared" si="47"/>
        <v>0</v>
      </c>
      <c r="T206" s="7" t="s">
        <v>493</v>
      </c>
      <c r="U206" s="66">
        <f>0.8*AF$186</f>
        <v>0.8</v>
      </c>
      <c r="V206" s="31">
        <f t="shared" si="48"/>
        <v>0</v>
      </c>
      <c r="W206" s="35">
        <f>Rate!D$3</f>
        <v>34.5</v>
      </c>
      <c r="X206" s="110">
        <f t="shared" si="50"/>
        <v>0</v>
      </c>
      <c r="Y206" s="110">
        <f t="shared" si="51"/>
        <v>0</v>
      </c>
      <c r="Z206" s="110">
        <f t="shared" si="52"/>
        <v>0</v>
      </c>
      <c r="AA206" s="110">
        <f t="shared" si="43"/>
        <v>0</v>
      </c>
      <c r="AB206" s="110">
        <f t="shared" si="49"/>
        <v>0</v>
      </c>
      <c r="AC206" s="371" t="s">
        <v>163</v>
      </c>
      <c r="AD206" s="371" t="s">
        <v>148</v>
      </c>
      <c r="AE206" s="371" t="s">
        <v>149</v>
      </c>
      <c r="AF206" s="371"/>
    </row>
    <row r="207" spans="1:32" ht="13.5" hidden="1" thickBot="1" x14ac:dyDescent="0.25">
      <c r="A207" s="14" t="str">
        <f t="shared" si="46"/>
        <v/>
      </c>
      <c r="B207" s="21" t="s">
        <v>474</v>
      </c>
      <c r="C207" s="15"/>
      <c r="D207" s="242"/>
      <c r="E207" s="280">
        <v>0.75</v>
      </c>
      <c r="F207" s="85">
        <v>300</v>
      </c>
      <c r="G207" s="85"/>
      <c r="H207" s="15" t="s">
        <v>66</v>
      </c>
      <c r="I207" s="18"/>
      <c r="J207" s="15"/>
      <c r="K207" s="15"/>
      <c r="L207" s="15"/>
      <c r="M207" s="15"/>
      <c r="N207" s="15"/>
      <c r="O207" s="15"/>
      <c r="P207" s="15"/>
      <c r="Q207" s="15"/>
      <c r="R207" s="15"/>
      <c r="S207" s="19">
        <f t="shared" si="47"/>
        <v>0</v>
      </c>
      <c r="T207" s="7" t="s">
        <v>493</v>
      </c>
      <c r="U207" s="66">
        <f>0.8*AF$186</f>
        <v>0.8</v>
      </c>
      <c r="V207" s="31">
        <f t="shared" si="48"/>
        <v>0</v>
      </c>
      <c r="W207" s="35">
        <f>Rate!D$3</f>
        <v>34.5</v>
      </c>
      <c r="X207" s="110">
        <f t="shared" si="50"/>
        <v>0</v>
      </c>
      <c r="Y207" s="110">
        <f t="shared" si="51"/>
        <v>0</v>
      </c>
      <c r="Z207" s="110">
        <f t="shared" si="52"/>
        <v>0</v>
      </c>
      <c r="AA207" s="110">
        <f t="shared" si="43"/>
        <v>0</v>
      </c>
      <c r="AB207" s="110">
        <f t="shared" si="49"/>
        <v>0</v>
      </c>
      <c r="AC207" s="371" t="s">
        <v>163</v>
      </c>
      <c r="AD207" s="371" t="s">
        <v>148</v>
      </c>
      <c r="AE207" s="371" t="s">
        <v>149</v>
      </c>
      <c r="AF207" s="371"/>
    </row>
    <row r="208" spans="1:32" ht="13.5" hidden="1" thickBot="1" x14ac:dyDescent="0.25">
      <c r="A208" s="14" t="str">
        <f t="shared" si="46"/>
        <v/>
      </c>
      <c r="B208" s="21" t="s">
        <v>474</v>
      </c>
      <c r="C208" s="15"/>
      <c r="D208" s="242"/>
      <c r="E208" s="280">
        <v>1</v>
      </c>
      <c r="F208" s="85">
        <v>300</v>
      </c>
      <c r="G208" s="85"/>
      <c r="H208" s="15" t="s">
        <v>66</v>
      </c>
      <c r="I208" s="18"/>
      <c r="J208" s="15"/>
      <c r="K208" s="15"/>
      <c r="L208" s="15"/>
      <c r="M208" s="15"/>
      <c r="N208" s="15"/>
      <c r="O208" s="15"/>
      <c r="P208" s="15"/>
      <c r="Q208" s="15"/>
      <c r="R208" s="15"/>
      <c r="S208" s="19">
        <f t="shared" si="47"/>
        <v>0</v>
      </c>
      <c r="T208" s="7" t="s">
        <v>493</v>
      </c>
      <c r="U208" s="66">
        <f>0.8*AF$186</f>
        <v>0.8</v>
      </c>
      <c r="V208" s="31">
        <f t="shared" si="48"/>
        <v>0</v>
      </c>
      <c r="W208" s="35">
        <f>Rate!D$3</f>
        <v>34.5</v>
      </c>
      <c r="X208" s="110">
        <f t="shared" si="50"/>
        <v>0</v>
      </c>
      <c r="Y208" s="110">
        <f t="shared" si="51"/>
        <v>0</v>
      </c>
      <c r="Z208" s="110">
        <f t="shared" si="52"/>
        <v>0</v>
      </c>
      <c r="AA208" s="110">
        <f t="shared" si="43"/>
        <v>0</v>
      </c>
      <c r="AB208" s="110">
        <f t="shared" si="49"/>
        <v>0</v>
      </c>
      <c r="AC208" s="371" t="s">
        <v>163</v>
      </c>
      <c r="AD208" s="371" t="s">
        <v>148</v>
      </c>
      <c r="AE208" s="371" t="s">
        <v>149</v>
      </c>
      <c r="AF208" s="371"/>
    </row>
    <row r="209" spans="1:32" ht="13.5" hidden="1" thickBot="1" x14ac:dyDescent="0.25">
      <c r="A209" s="14" t="str">
        <f t="shared" si="46"/>
        <v/>
      </c>
      <c r="B209" s="21" t="s">
        <v>474</v>
      </c>
      <c r="C209" s="15"/>
      <c r="D209" s="242"/>
      <c r="E209" s="280">
        <v>1.5</v>
      </c>
      <c r="F209" s="85">
        <v>300</v>
      </c>
      <c r="G209" s="85"/>
      <c r="H209" s="15" t="s">
        <v>66</v>
      </c>
      <c r="I209" s="18"/>
      <c r="J209" s="15"/>
      <c r="K209" s="15"/>
      <c r="L209" s="15"/>
      <c r="M209" s="15"/>
      <c r="N209" s="15"/>
      <c r="O209" s="15"/>
      <c r="P209" s="15"/>
      <c r="Q209" s="15"/>
      <c r="R209" s="15"/>
      <c r="S209" s="19">
        <f t="shared" si="47"/>
        <v>0</v>
      </c>
      <c r="T209" s="7" t="s">
        <v>493</v>
      </c>
      <c r="U209" s="66">
        <f>0.8*AF$186</f>
        <v>0.8</v>
      </c>
      <c r="V209" s="31">
        <f t="shared" si="48"/>
        <v>0</v>
      </c>
      <c r="W209" s="35">
        <f>Rate!D$3</f>
        <v>34.5</v>
      </c>
      <c r="X209" s="110">
        <f t="shared" si="50"/>
        <v>0</v>
      </c>
      <c r="Y209" s="110">
        <f t="shared" si="51"/>
        <v>0</v>
      </c>
      <c r="Z209" s="110">
        <f t="shared" si="52"/>
        <v>0</v>
      </c>
      <c r="AA209" s="110">
        <f t="shared" si="43"/>
        <v>0</v>
      </c>
      <c r="AB209" s="110">
        <f t="shared" si="49"/>
        <v>0</v>
      </c>
      <c r="AC209" s="371" t="s">
        <v>163</v>
      </c>
      <c r="AD209" s="371" t="s">
        <v>148</v>
      </c>
      <c r="AE209" s="371" t="s">
        <v>149</v>
      </c>
      <c r="AF209" s="371"/>
    </row>
    <row r="210" spans="1:32" ht="13.5" hidden="1" thickBot="1" x14ac:dyDescent="0.25">
      <c r="A210" s="14" t="str">
        <f t="shared" si="46"/>
        <v/>
      </c>
      <c r="B210" s="21" t="s">
        <v>474</v>
      </c>
      <c r="C210" s="15"/>
      <c r="D210" s="242"/>
      <c r="E210" s="280">
        <v>2</v>
      </c>
      <c r="F210" s="85">
        <v>300</v>
      </c>
      <c r="G210" s="85"/>
      <c r="H210" s="15" t="s">
        <v>66</v>
      </c>
      <c r="I210" s="18"/>
      <c r="J210" s="15"/>
      <c r="K210" s="15"/>
      <c r="L210" s="15"/>
      <c r="M210" s="15"/>
      <c r="N210" s="15"/>
      <c r="O210" s="15"/>
      <c r="P210" s="15"/>
      <c r="Q210" s="15"/>
      <c r="R210" s="15"/>
      <c r="S210" s="19">
        <f t="shared" si="47"/>
        <v>0</v>
      </c>
      <c r="T210" s="7" t="s">
        <v>493</v>
      </c>
      <c r="U210" s="66">
        <f>0.8*AF$186</f>
        <v>0.8</v>
      </c>
      <c r="V210" s="31">
        <f t="shared" si="48"/>
        <v>0</v>
      </c>
      <c r="W210" s="35">
        <f>Rate!D$3</f>
        <v>34.5</v>
      </c>
      <c r="X210" s="110">
        <f t="shared" si="50"/>
        <v>0</v>
      </c>
      <c r="Y210" s="110">
        <f t="shared" si="51"/>
        <v>0</v>
      </c>
      <c r="Z210" s="110">
        <f t="shared" si="52"/>
        <v>0</v>
      </c>
      <c r="AA210" s="110">
        <f t="shared" si="43"/>
        <v>0</v>
      </c>
      <c r="AB210" s="110">
        <f t="shared" si="49"/>
        <v>0</v>
      </c>
      <c r="AC210" s="371" t="s">
        <v>163</v>
      </c>
      <c r="AD210" s="371" t="s">
        <v>148</v>
      </c>
      <c r="AE210" s="371" t="s">
        <v>149</v>
      </c>
      <c r="AF210" s="371"/>
    </row>
    <row r="211" spans="1:32" ht="13.5" hidden="1" thickBot="1" x14ac:dyDescent="0.25">
      <c r="A211" s="14" t="str">
        <f t="shared" si="46"/>
        <v/>
      </c>
      <c r="B211" s="21" t="s">
        <v>474</v>
      </c>
      <c r="C211" s="15"/>
      <c r="D211" s="242"/>
      <c r="E211" s="280">
        <v>3</v>
      </c>
      <c r="F211" s="85">
        <v>300</v>
      </c>
      <c r="G211" s="85"/>
      <c r="H211" s="15" t="s">
        <v>66</v>
      </c>
      <c r="I211" s="18"/>
      <c r="J211" s="15"/>
      <c r="K211" s="15"/>
      <c r="L211" s="15"/>
      <c r="M211" s="15"/>
      <c r="N211" s="15"/>
      <c r="O211" s="15"/>
      <c r="P211" s="15"/>
      <c r="Q211" s="15"/>
      <c r="R211" s="15"/>
      <c r="S211" s="19">
        <f t="shared" si="47"/>
        <v>0</v>
      </c>
      <c r="T211" s="7" t="s">
        <v>493</v>
      </c>
      <c r="U211" s="66">
        <f>0.9*AF$186</f>
        <v>0.9</v>
      </c>
      <c r="V211" s="31">
        <f t="shared" si="48"/>
        <v>0</v>
      </c>
      <c r="W211" s="35">
        <f>Rate!D$3</f>
        <v>34.5</v>
      </c>
      <c r="X211" s="110">
        <f t="shared" si="50"/>
        <v>0</v>
      </c>
      <c r="Y211" s="110">
        <f t="shared" si="51"/>
        <v>0</v>
      </c>
      <c r="Z211" s="110">
        <f t="shared" si="52"/>
        <v>0</v>
      </c>
      <c r="AA211" s="110">
        <f t="shared" si="43"/>
        <v>0</v>
      </c>
      <c r="AB211" s="110">
        <f t="shared" si="49"/>
        <v>0</v>
      </c>
      <c r="AC211" s="371" t="s">
        <v>163</v>
      </c>
      <c r="AD211" s="371" t="s">
        <v>148</v>
      </c>
      <c r="AE211" s="371" t="s">
        <v>149</v>
      </c>
      <c r="AF211" s="371"/>
    </row>
    <row r="212" spans="1:32" ht="13.5" hidden="1" thickBot="1" x14ac:dyDescent="0.25">
      <c r="A212" s="14" t="str">
        <f t="shared" si="46"/>
        <v/>
      </c>
      <c r="B212" s="21" t="s">
        <v>474</v>
      </c>
      <c r="C212" s="15"/>
      <c r="D212" s="242"/>
      <c r="E212" s="280">
        <v>4</v>
      </c>
      <c r="F212" s="85">
        <v>300</v>
      </c>
      <c r="G212" s="85"/>
      <c r="H212" s="15" t="s">
        <v>66</v>
      </c>
      <c r="I212" s="18"/>
      <c r="J212" s="15"/>
      <c r="K212" s="15"/>
      <c r="L212" s="15"/>
      <c r="M212" s="15"/>
      <c r="N212" s="15"/>
      <c r="O212" s="15"/>
      <c r="P212" s="15"/>
      <c r="Q212" s="15"/>
      <c r="R212" s="15"/>
      <c r="S212" s="19">
        <f t="shared" si="47"/>
        <v>0</v>
      </c>
      <c r="T212" s="7" t="s">
        <v>493</v>
      </c>
      <c r="U212" s="66">
        <f>1.4*AF$186</f>
        <v>1.4</v>
      </c>
      <c r="V212" s="31">
        <f t="shared" si="48"/>
        <v>0</v>
      </c>
      <c r="W212" s="35">
        <f>Rate!D$3</f>
        <v>34.5</v>
      </c>
      <c r="X212" s="110">
        <f t="shared" si="50"/>
        <v>0</v>
      </c>
      <c r="Y212" s="110">
        <f t="shared" si="51"/>
        <v>0</v>
      </c>
      <c r="Z212" s="110">
        <f t="shared" si="52"/>
        <v>0</v>
      </c>
      <c r="AA212" s="110">
        <f t="shared" si="43"/>
        <v>0</v>
      </c>
      <c r="AB212" s="110">
        <f t="shared" si="49"/>
        <v>0</v>
      </c>
      <c r="AC212" s="371" t="s">
        <v>163</v>
      </c>
      <c r="AD212" s="371" t="s">
        <v>148</v>
      </c>
      <c r="AE212" s="371" t="s">
        <v>149</v>
      </c>
      <c r="AF212" s="371"/>
    </row>
    <row r="213" spans="1:32" ht="13.5" hidden="1" thickBot="1" x14ac:dyDescent="0.25">
      <c r="A213" s="14" t="str">
        <f t="shared" si="46"/>
        <v/>
      </c>
      <c r="B213" s="21" t="s">
        <v>474</v>
      </c>
      <c r="C213" s="15"/>
      <c r="D213" s="242"/>
      <c r="E213" s="280">
        <v>6</v>
      </c>
      <c r="F213" s="85">
        <v>300</v>
      </c>
      <c r="G213" s="85"/>
      <c r="H213" s="15" t="s">
        <v>66</v>
      </c>
      <c r="I213" s="18"/>
      <c r="J213" s="15"/>
      <c r="K213" s="15"/>
      <c r="L213" s="15"/>
      <c r="M213" s="15"/>
      <c r="N213" s="15"/>
      <c r="O213" s="15"/>
      <c r="P213" s="15"/>
      <c r="Q213" s="15"/>
      <c r="R213" s="15"/>
      <c r="S213" s="19">
        <f t="shared" si="47"/>
        <v>0</v>
      </c>
      <c r="T213" s="7" t="s">
        <v>493</v>
      </c>
      <c r="U213" s="66">
        <f>1.7*AF$186</f>
        <v>1.7</v>
      </c>
      <c r="V213" s="31">
        <f t="shared" si="48"/>
        <v>0</v>
      </c>
      <c r="W213" s="35">
        <f>Rate!D$3</f>
        <v>34.5</v>
      </c>
      <c r="X213" s="110">
        <f t="shared" si="50"/>
        <v>0</v>
      </c>
      <c r="Y213" s="110">
        <f t="shared" si="51"/>
        <v>0</v>
      </c>
      <c r="Z213" s="110">
        <f t="shared" si="52"/>
        <v>0</v>
      </c>
      <c r="AA213" s="110">
        <f t="shared" si="43"/>
        <v>0</v>
      </c>
      <c r="AB213" s="110">
        <f t="shared" si="49"/>
        <v>0</v>
      </c>
      <c r="AC213" s="371" t="s">
        <v>163</v>
      </c>
      <c r="AD213" s="371" t="s">
        <v>148</v>
      </c>
      <c r="AE213" s="371" t="s">
        <v>149</v>
      </c>
      <c r="AF213" s="371"/>
    </row>
    <row r="214" spans="1:32" ht="13.5" hidden="1" thickBot="1" x14ac:dyDescent="0.25">
      <c r="A214" s="14" t="str">
        <f t="shared" si="46"/>
        <v/>
      </c>
      <c r="B214" s="21" t="s">
        <v>474</v>
      </c>
      <c r="C214" s="15"/>
      <c r="D214" s="242"/>
      <c r="E214" s="280">
        <v>8</v>
      </c>
      <c r="F214" s="85">
        <v>300</v>
      </c>
      <c r="G214" s="85"/>
      <c r="H214" s="15" t="s">
        <v>66</v>
      </c>
      <c r="I214" s="18"/>
      <c r="J214" s="15"/>
      <c r="K214" s="15"/>
      <c r="L214" s="15"/>
      <c r="M214" s="15"/>
      <c r="N214" s="15"/>
      <c r="O214" s="15"/>
      <c r="P214" s="15"/>
      <c r="Q214" s="15"/>
      <c r="R214" s="15"/>
      <c r="S214" s="19">
        <f t="shared" si="47"/>
        <v>0</v>
      </c>
      <c r="T214" s="7" t="s">
        <v>493</v>
      </c>
      <c r="U214" s="66">
        <f>2.4*AF$186</f>
        <v>2.4</v>
      </c>
      <c r="V214" s="31">
        <f t="shared" si="48"/>
        <v>0</v>
      </c>
      <c r="W214" s="35">
        <f>Rate!D$3</f>
        <v>34.5</v>
      </c>
      <c r="X214" s="110">
        <f t="shared" si="50"/>
        <v>0</v>
      </c>
      <c r="Y214" s="110">
        <f t="shared" si="51"/>
        <v>0</v>
      </c>
      <c r="Z214" s="110">
        <f t="shared" si="52"/>
        <v>0</v>
      </c>
      <c r="AA214" s="110">
        <f t="shared" si="43"/>
        <v>0</v>
      </c>
      <c r="AB214" s="110">
        <f t="shared" si="49"/>
        <v>0</v>
      </c>
      <c r="AC214" s="371" t="s">
        <v>163</v>
      </c>
      <c r="AD214" s="371" t="s">
        <v>148</v>
      </c>
      <c r="AE214" s="371" t="s">
        <v>149</v>
      </c>
      <c r="AF214" s="371"/>
    </row>
    <row r="215" spans="1:32" ht="13.5" hidden="1" thickBot="1" x14ac:dyDescent="0.25">
      <c r="A215" s="14" t="str">
        <f t="shared" si="46"/>
        <v/>
      </c>
      <c r="B215" s="21" t="s">
        <v>474</v>
      </c>
      <c r="C215" s="15"/>
      <c r="D215" s="242"/>
      <c r="E215" s="280">
        <v>10</v>
      </c>
      <c r="F215" s="85">
        <v>300</v>
      </c>
      <c r="G215" s="85"/>
      <c r="H215" s="15" t="s">
        <v>66</v>
      </c>
      <c r="I215" s="18"/>
      <c r="J215" s="15"/>
      <c r="K215" s="15"/>
      <c r="L215" s="15"/>
      <c r="M215" s="15"/>
      <c r="N215" s="15"/>
      <c r="O215" s="15"/>
      <c r="P215" s="15"/>
      <c r="Q215" s="15"/>
      <c r="R215" s="15"/>
      <c r="S215" s="19">
        <f t="shared" si="47"/>
        <v>0</v>
      </c>
      <c r="T215" s="7" t="s">
        <v>493</v>
      </c>
      <c r="U215" s="66">
        <f>3*AF$186</f>
        <v>3</v>
      </c>
      <c r="V215" s="31">
        <f t="shared" si="48"/>
        <v>0</v>
      </c>
      <c r="W215" s="35">
        <f>Rate!D$3</f>
        <v>34.5</v>
      </c>
      <c r="X215" s="110">
        <f t="shared" si="50"/>
        <v>0</v>
      </c>
      <c r="Y215" s="110">
        <f t="shared" si="51"/>
        <v>0</v>
      </c>
      <c r="Z215" s="110">
        <f t="shared" si="52"/>
        <v>0</v>
      </c>
      <c r="AA215" s="110">
        <f t="shared" si="43"/>
        <v>0</v>
      </c>
      <c r="AB215" s="110">
        <f t="shared" si="49"/>
        <v>0</v>
      </c>
      <c r="AC215" s="371" t="s">
        <v>163</v>
      </c>
      <c r="AD215" s="371" t="s">
        <v>148</v>
      </c>
      <c r="AE215" s="371" t="s">
        <v>149</v>
      </c>
      <c r="AF215" s="371"/>
    </row>
    <row r="216" spans="1:32" ht="13.5" hidden="1" thickBot="1" x14ac:dyDescent="0.25">
      <c r="A216" s="14" t="str">
        <f t="shared" si="46"/>
        <v/>
      </c>
      <c r="B216" s="21" t="s">
        <v>474</v>
      </c>
      <c r="C216" s="15"/>
      <c r="D216" s="242"/>
      <c r="E216" s="280">
        <v>12</v>
      </c>
      <c r="F216" s="85">
        <v>300</v>
      </c>
      <c r="G216" s="85"/>
      <c r="H216" s="15" t="s">
        <v>66</v>
      </c>
      <c r="I216" s="18"/>
      <c r="J216" s="15"/>
      <c r="K216" s="15"/>
      <c r="L216" s="15"/>
      <c r="M216" s="15"/>
      <c r="N216" s="15"/>
      <c r="O216" s="15"/>
      <c r="P216" s="15"/>
      <c r="Q216" s="15"/>
      <c r="R216" s="15"/>
      <c r="S216" s="19">
        <f t="shared" si="47"/>
        <v>0</v>
      </c>
      <c r="T216" s="7" t="s">
        <v>493</v>
      </c>
      <c r="U216" s="66">
        <f>3.8*AF$186</f>
        <v>3.8</v>
      </c>
      <c r="V216" s="31">
        <f t="shared" si="48"/>
        <v>0</v>
      </c>
      <c r="W216" s="35">
        <f>Rate!D$3</f>
        <v>34.5</v>
      </c>
      <c r="X216" s="110">
        <f t="shared" si="50"/>
        <v>0</v>
      </c>
      <c r="Y216" s="110">
        <f t="shared" si="51"/>
        <v>0</v>
      </c>
      <c r="Z216" s="110">
        <f t="shared" si="52"/>
        <v>0</v>
      </c>
      <c r="AA216" s="110">
        <f t="shared" si="43"/>
        <v>0</v>
      </c>
      <c r="AB216" s="110">
        <f t="shared" si="49"/>
        <v>0</v>
      </c>
      <c r="AC216" s="371" t="s">
        <v>163</v>
      </c>
      <c r="AD216" s="371" t="s">
        <v>148</v>
      </c>
      <c r="AE216" s="371" t="s">
        <v>149</v>
      </c>
      <c r="AF216" s="371"/>
    </row>
    <row r="217" spans="1:32" ht="13.5" hidden="1" thickBot="1" x14ac:dyDescent="0.25">
      <c r="A217" s="14" t="str">
        <f t="shared" si="46"/>
        <v/>
      </c>
      <c r="B217" s="21" t="s">
        <v>474</v>
      </c>
      <c r="C217" s="15"/>
      <c r="D217" s="242"/>
      <c r="E217" s="280">
        <v>14</v>
      </c>
      <c r="F217" s="85">
        <v>300</v>
      </c>
      <c r="G217" s="85"/>
      <c r="H217" s="15" t="s">
        <v>66</v>
      </c>
      <c r="I217" s="18"/>
      <c r="J217" s="15"/>
      <c r="K217" s="15"/>
      <c r="L217" s="15"/>
      <c r="M217" s="15"/>
      <c r="N217" s="15"/>
      <c r="O217" s="15"/>
      <c r="P217" s="15"/>
      <c r="Q217" s="15"/>
      <c r="R217" s="15"/>
      <c r="S217" s="19">
        <f t="shared" si="47"/>
        <v>0</v>
      </c>
      <c r="T217" s="7" t="s">
        <v>493</v>
      </c>
      <c r="U217" s="66">
        <f>4.3*AF$186</f>
        <v>4.3</v>
      </c>
      <c r="V217" s="31">
        <f t="shared" si="48"/>
        <v>0</v>
      </c>
      <c r="W217" s="35">
        <f>Rate!D$3</f>
        <v>34.5</v>
      </c>
      <c r="X217" s="110">
        <f t="shared" si="50"/>
        <v>0</v>
      </c>
      <c r="Y217" s="110">
        <f t="shared" si="51"/>
        <v>0</v>
      </c>
      <c r="Z217" s="110">
        <f t="shared" si="52"/>
        <v>0</v>
      </c>
      <c r="AA217" s="110">
        <f t="shared" si="43"/>
        <v>0</v>
      </c>
      <c r="AB217" s="110">
        <f t="shared" si="49"/>
        <v>0</v>
      </c>
      <c r="AC217" s="371" t="s">
        <v>163</v>
      </c>
      <c r="AD217" s="371" t="s">
        <v>148</v>
      </c>
      <c r="AE217" s="371" t="s">
        <v>149</v>
      </c>
      <c r="AF217" s="371"/>
    </row>
    <row r="218" spans="1:32" ht="13.5" hidden="1" thickBot="1" x14ac:dyDescent="0.25">
      <c r="A218" s="14" t="str">
        <f t="shared" si="46"/>
        <v/>
      </c>
      <c r="B218" s="21" t="s">
        <v>474</v>
      </c>
      <c r="C218" s="15"/>
      <c r="D218" s="242"/>
      <c r="E218" s="280">
        <v>16</v>
      </c>
      <c r="F218" s="85">
        <v>300</v>
      </c>
      <c r="G218" s="85"/>
      <c r="H218" s="15" t="s">
        <v>66</v>
      </c>
      <c r="I218" s="18"/>
      <c r="J218" s="15"/>
      <c r="K218" s="15"/>
      <c r="L218" s="15"/>
      <c r="M218" s="15"/>
      <c r="N218" s="15"/>
      <c r="O218" s="15"/>
      <c r="P218" s="15"/>
      <c r="Q218" s="15"/>
      <c r="R218" s="15"/>
      <c r="S218" s="19">
        <f t="shared" si="47"/>
        <v>0</v>
      </c>
      <c r="T218" s="7" t="s">
        <v>493</v>
      </c>
      <c r="U218" s="66">
        <f>4.9*AF$186</f>
        <v>4.9000000000000004</v>
      </c>
      <c r="V218" s="31">
        <f t="shared" si="48"/>
        <v>0</v>
      </c>
      <c r="W218" s="35">
        <f>Rate!D$3</f>
        <v>34.5</v>
      </c>
      <c r="X218" s="110">
        <f t="shared" si="50"/>
        <v>0</v>
      </c>
      <c r="Y218" s="110">
        <f t="shared" si="51"/>
        <v>0</v>
      </c>
      <c r="Z218" s="110">
        <f t="shared" si="52"/>
        <v>0</v>
      </c>
      <c r="AA218" s="110">
        <f t="shared" si="43"/>
        <v>0</v>
      </c>
      <c r="AB218" s="110">
        <f t="shared" si="49"/>
        <v>0</v>
      </c>
      <c r="AC218" s="371" t="s">
        <v>163</v>
      </c>
      <c r="AD218" s="371" t="s">
        <v>148</v>
      </c>
      <c r="AE218" s="371" t="s">
        <v>149</v>
      </c>
      <c r="AF218" s="371"/>
    </row>
    <row r="219" spans="1:32" ht="13.5" hidden="1" thickBot="1" x14ac:dyDescent="0.25">
      <c r="A219" s="14" t="str">
        <f t="shared" ref="A219:A250" si="53">+IF(AB219&lt;&gt;0,"X","")</f>
        <v/>
      </c>
      <c r="B219" s="21" t="s">
        <v>474</v>
      </c>
      <c r="C219" s="15"/>
      <c r="D219" s="242"/>
      <c r="E219" s="280">
        <v>18</v>
      </c>
      <c r="F219" s="85">
        <v>300</v>
      </c>
      <c r="G219" s="85"/>
      <c r="H219" s="15" t="s">
        <v>66</v>
      </c>
      <c r="I219" s="18"/>
      <c r="J219" s="15"/>
      <c r="K219" s="15"/>
      <c r="L219" s="15"/>
      <c r="M219" s="15"/>
      <c r="N219" s="15"/>
      <c r="O219" s="15"/>
      <c r="P219" s="15"/>
      <c r="Q219" s="15"/>
      <c r="R219" s="15"/>
      <c r="S219" s="19">
        <f t="shared" ref="S219:S251" si="54">SUM(I219:R219)</f>
        <v>0</v>
      </c>
      <c r="T219" s="7" t="s">
        <v>493</v>
      </c>
      <c r="U219" s="66">
        <f>5.4*AF$186</f>
        <v>5.4</v>
      </c>
      <c r="V219" s="31">
        <f t="shared" ref="V219:V250" si="55">+S219*U219</f>
        <v>0</v>
      </c>
      <c r="W219" s="35">
        <f>Rate!D$3</f>
        <v>34.5</v>
      </c>
      <c r="X219" s="110">
        <f t="shared" si="50"/>
        <v>0</v>
      </c>
      <c r="Y219" s="110">
        <f t="shared" si="51"/>
        <v>0</v>
      </c>
      <c r="Z219" s="110">
        <f t="shared" si="52"/>
        <v>0</v>
      </c>
      <c r="AA219" s="110">
        <f t="shared" si="43"/>
        <v>0</v>
      </c>
      <c r="AB219" s="110">
        <f t="shared" ref="AB219:AB242" si="56">SUM(X219:AA219)</f>
        <v>0</v>
      </c>
      <c r="AC219" s="371" t="s">
        <v>163</v>
      </c>
      <c r="AD219" s="371" t="s">
        <v>148</v>
      </c>
      <c r="AE219" s="371" t="s">
        <v>149</v>
      </c>
      <c r="AF219" s="371"/>
    </row>
    <row r="220" spans="1:32" ht="13.5" hidden="1" thickBot="1" x14ac:dyDescent="0.25">
      <c r="A220" s="14" t="str">
        <f t="shared" si="53"/>
        <v/>
      </c>
      <c r="B220" s="21" t="s">
        <v>474</v>
      </c>
      <c r="C220" s="15"/>
      <c r="D220" s="242"/>
      <c r="E220" s="280">
        <v>20</v>
      </c>
      <c r="F220" s="85">
        <v>300</v>
      </c>
      <c r="G220" s="85"/>
      <c r="H220" s="15" t="s">
        <v>66</v>
      </c>
      <c r="I220" s="18"/>
      <c r="J220" s="15"/>
      <c r="K220" s="15"/>
      <c r="L220" s="15"/>
      <c r="M220" s="15"/>
      <c r="N220" s="15"/>
      <c r="O220" s="15"/>
      <c r="P220" s="15"/>
      <c r="Q220" s="15"/>
      <c r="R220" s="15"/>
      <c r="S220" s="19">
        <f t="shared" si="54"/>
        <v>0</v>
      </c>
      <c r="T220" s="7" t="s">
        <v>493</v>
      </c>
      <c r="U220" s="66">
        <f>6.2*AF$186</f>
        <v>6.2</v>
      </c>
      <c r="V220" s="31">
        <f t="shared" si="55"/>
        <v>0</v>
      </c>
      <c r="W220" s="35">
        <f>Rate!D$3</f>
        <v>34.5</v>
      </c>
      <c r="X220" s="110">
        <f t="shared" si="50"/>
        <v>0</v>
      </c>
      <c r="Y220" s="110">
        <f t="shared" si="51"/>
        <v>0</v>
      </c>
      <c r="Z220" s="110">
        <f t="shared" si="52"/>
        <v>0</v>
      </c>
      <c r="AA220" s="110">
        <f t="shared" si="43"/>
        <v>0</v>
      </c>
      <c r="AB220" s="110">
        <f t="shared" si="56"/>
        <v>0</v>
      </c>
      <c r="AC220" s="371" t="s">
        <v>163</v>
      </c>
      <c r="AD220" s="371" t="s">
        <v>148</v>
      </c>
      <c r="AE220" s="371" t="s">
        <v>149</v>
      </c>
      <c r="AF220" s="371"/>
    </row>
    <row r="221" spans="1:32" ht="13.5" hidden="1" thickBot="1" x14ac:dyDescent="0.25">
      <c r="A221" s="14" t="str">
        <f t="shared" si="53"/>
        <v/>
      </c>
      <c r="B221" s="21" t="s">
        <v>474</v>
      </c>
      <c r="C221" s="15"/>
      <c r="D221" s="242"/>
      <c r="E221" s="280">
        <v>24</v>
      </c>
      <c r="F221" s="85">
        <v>300</v>
      </c>
      <c r="G221" s="85"/>
      <c r="H221" s="15" t="s">
        <v>66</v>
      </c>
      <c r="I221" s="18"/>
      <c r="J221" s="15"/>
      <c r="K221" s="15"/>
      <c r="L221" s="15"/>
      <c r="M221" s="15"/>
      <c r="N221" s="15"/>
      <c r="O221" s="15"/>
      <c r="P221" s="15"/>
      <c r="Q221" s="15"/>
      <c r="R221" s="15"/>
      <c r="S221" s="19">
        <f t="shared" si="54"/>
        <v>0</v>
      </c>
      <c r="T221" s="7" t="s">
        <v>493</v>
      </c>
      <c r="U221" s="66">
        <f>7.4*AF$186</f>
        <v>7.4</v>
      </c>
      <c r="V221" s="31">
        <f t="shared" si="55"/>
        <v>0</v>
      </c>
      <c r="W221" s="35">
        <f>Rate!D$3</f>
        <v>34.5</v>
      </c>
      <c r="X221" s="110">
        <f t="shared" si="50"/>
        <v>0</v>
      </c>
      <c r="Y221" s="110">
        <f t="shared" si="51"/>
        <v>0</v>
      </c>
      <c r="Z221" s="110">
        <f t="shared" si="52"/>
        <v>0</v>
      </c>
      <c r="AA221" s="110">
        <f t="shared" si="43"/>
        <v>0</v>
      </c>
      <c r="AB221" s="110">
        <f t="shared" si="56"/>
        <v>0</v>
      </c>
      <c r="AC221" s="371" t="s">
        <v>163</v>
      </c>
      <c r="AD221" s="371" t="s">
        <v>148</v>
      </c>
      <c r="AE221" s="371" t="s">
        <v>149</v>
      </c>
      <c r="AF221" s="371"/>
    </row>
    <row r="222" spans="1:32" ht="13.5" hidden="1" thickBot="1" x14ac:dyDescent="0.25">
      <c r="A222" s="14" t="str">
        <f t="shared" si="53"/>
        <v/>
      </c>
      <c r="B222" s="21" t="s">
        <v>474</v>
      </c>
      <c r="C222" s="15"/>
      <c r="D222" s="242"/>
      <c r="E222" s="280">
        <v>30</v>
      </c>
      <c r="F222" s="85">
        <v>300</v>
      </c>
      <c r="G222" s="85"/>
      <c r="H222" s="15" t="s">
        <v>66</v>
      </c>
      <c r="I222" s="18"/>
      <c r="J222" s="15"/>
      <c r="K222" s="15"/>
      <c r="L222" s="15"/>
      <c r="M222" s="15"/>
      <c r="N222" s="15"/>
      <c r="O222" s="15"/>
      <c r="P222" s="15"/>
      <c r="Q222" s="15"/>
      <c r="R222" s="15"/>
      <c r="S222" s="19">
        <f t="shared" si="54"/>
        <v>0</v>
      </c>
      <c r="T222" s="7" t="s">
        <v>493</v>
      </c>
      <c r="U222" s="66">
        <f>8.7*AF$186</f>
        <v>8.6999999999999993</v>
      </c>
      <c r="V222" s="31">
        <f t="shared" si="55"/>
        <v>0</v>
      </c>
      <c r="W222" s="35">
        <f>Rate!D$3</f>
        <v>34.5</v>
      </c>
      <c r="X222" s="110">
        <f t="shared" si="50"/>
        <v>0</v>
      </c>
      <c r="Y222" s="110">
        <f t="shared" si="51"/>
        <v>0</v>
      </c>
      <c r="Z222" s="110">
        <f t="shared" si="52"/>
        <v>0</v>
      </c>
      <c r="AA222" s="110">
        <f t="shared" si="43"/>
        <v>0</v>
      </c>
      <c r="AB222" s="110">
        <f t="shared" si="56"/>
        <v>0</v>
      </c>
      <c r="AC222" s="371" t="s">
        <v>163</v>
      </c>
      <c r="AD222" s="371" t="s">
        <v>148</v>
      </c>
      <c r="AE222" s="371" t="s">
        <v>149</v>
      </c>
      <c r="AF222" s="371"/>
    </row>
    <row r="223" spans="1:32" ht="13.5" hidden="1" thickBot="1" x14ac:dyDescent="0.25">
      <c r="A223" s="14" t="str">
        <f t="shared" si="53"/>
        <v/>
      </c>
      <c r="B223" s="21" t="s">
        <v>474</v>
      </c>
      <c r="C223" s="15"/>
      <c r="D223" s="242"/>
      <c r="E223" s="280">
        <v>36</v>
      </c>
      <c r="F223" s="85">
        <v>300</v>
      </c>
      <c r="G223" s="85"/>
      <c r="H223" s="15" t="s">
        <v>66</v>
      </c>
      <c r="I223" s="18"/>
      <c r="J223" s="15"/>
      <c r="K223" s="15"/>
      <c r="L223" s="15"/>
      <c r="M223" s="15"/>
      <c r="N223" s="15"/>
      <c r="O223" s="15"/>
      <c r="P223" s="15"/>
      <c r="Q223" s="15"/>
      <c r="R223" s="15"/>
      <c r="S223" s="19">
        <f t="shared" si="54"/>
        <v>0</v>
      </c>
      <c r="T223" s="7" t="s">
        <v>493</v>
      </c>
      <c r="U223" s="66">
        <f>10*AF$186</f>
        <v>10</v>
      </c>
      <c r="V223" s="31">
        <f t="shared" si="55"/>
        <v>0</v>
      </c>
      <c r="W223" s="35">
        <f>Rate!D$3</f>
        <v>34.5</v>
      </c>
      <c r="X223" s="110">
        <f t="shared" si="50"/>
        <v>0</v>
      </c>
      <c r="Y223" s="110">
        <f t="shared" si="51"/>
        <v>0</v>
      </c>
      <c r="Z223" s="110">
        <f t="shared" si="52"/>
        <v>0</v>
      </c>
      <c r="AA223" s="110">
        <f t="shared" si="43"/>
        <v>0</v>
      </c>
      <c r="AB223" s="110">
        <f t="shared" si="56"/>
        <v>0</v>
      </c>
      <c r="AC223" s="371" t="s">
        <v>163</v>
      </c>
      <c r="AD223" s="371" t="s">
        <v>148</v>
      </c>
      <c r="AE223" s="371" t="s">
        <v>149</v>
      </c>
      <c r="AF223" s="371"/>
    </row>
    <row r="224" spans="1:32" ht="13.5" hidden="1" thickBot="1" x14ac:dyDescent="0.25">
      <c r="A224" s="14" t="str">
        <f t="shared" si="53"/>
        <v/>
      </c>
      <c r="B224" s="21" t="s">
        <v>474</v>
      </c>
      <c r="C224" s="15"/>
      <c r="D224" s="242"/>
      <c r="E224" s="280">
        <v>48</v>
      </c>
      <c r="F224" s="85">
        <v>300</v>
      </c>
      <c r="G224" s="85"/>
      <c r="H224" s="15" t="s">
        <v>66</v>
      </c>
      <c r="I224" s="18"/>
      <c r="J224" s="15"/>
      <c r="K224" s="15"/>
      <c r="L224" s="15"/>
      <c r="M224" s="15"/>
      <c r="N224" s="15"/>
      <c r="O224" s="15"/>
      <c r="P224" s="15"/>
      <c r="Q224" s="15"/>
      <c r="R224" s="15"/>
      <c r="S224" s="19">
        <f t="shared" si="54"/>
        <v>0</v>
      </c>
      <c r="T224" s="7" t="s">
        <v>493</v>
      </c>
      <c r="U224" s="66">
        <f>14.2*AF$186</f>
        <v>14.2</v>
      </c>
      <c r="V224" s="31">
        <f t="shared" si="55"/>
        <v>0</v>
      </c>
      <c r="W224" s="35">
        <f>Rate!D$3</f>
        <v>34.5</v>
      </c>
      <c r="X224" s="110">
        <f t="shared" si="50"/>
        <v>0</v>
      </c>
      <c r="Y224" s="110">
        <f t="shared" si="51"/>
        <v>0</v>
      </c>
      <c r="Z224" s="110">
        <f t="shared" si="52"/>
        <v>0</v>
      </c>
      <c r="AA224" s="110">
        <f t="shared" si="43"/>
        <v>0</v>
      </c>
      <c r="AB224" s="110">
        <f t="shared" si="56"/>
        <v>0</v>
      </c>
      <c r="AC224" s="371" t="s">
        <v>163</v>
      </c>
      <c r="AD224" s="371" t="s">
        <v>148</v>
      </c>
      <c r="AE224" s="371" t="s">
        <v>149</v>
      </c>
      <c r="AF224" s="371"/>
    </row>
    <row r="225" spans="1:32" ht="13.5" hidden="1" thickBot="1" x14ac:dyDescent="0.25">
      <c r="A225" s="14" t="str">
        <f t="shared" si="53"/>
        <v/>
      </c>
      <c r="B225" s="21" t="s">
        <v>474</v>
      </c>
      <c r="C225" s="15"/>
      <c r="D225" s="242"/>
      <c r="E225" s="280">
        <v>0.5</v>
      </c>
      <c r="F225" s="85">
        <v>600</v>
      </c>
      <c r="G225" s="85"/>
      <c r="H225" s="15" t="s">
        <v>66</v>
      </c>
      <c r="I225" s="18"/>
      <c r="J225" s="15"/>
      <c r="K225" s="15"/>
      <c r="L225" s="15"/>
      <c r="M225" s="15"/>
      <c r="N225" s="15"/>
      <c r="O225" s="15"/>
      <c r="P225" s="15"/>
      <c r="Q225" s="15"/>
      <c r="R225" s="15"/>
      <c r="S225" s="19">
        <f t="shared" si="54"/>
        <v>0</v>
      </c>
      <c r="T225" s="7" t="s">
        <v>493</v>
      </c>
      <c r="U225" s="66">
        <f>0.9*AF$186</f>
        <v>0.9</v>
      </c>
      <c r="V225" s="31">
        <f t="shared" si="55"/>
        <v>0</v>
      </c>
      <c r="W225" s="35">
        <f>Rate!D$3</f>
        <v>34.5</v>
      </c>
      <c r="X225" s="110">
        <f t="shared" si="50"/>
        <v>0</v>
      </c>
      <c r="Y225" s="110">
        <f t="shared" si="51"/>
        <v>0</v>
      </c>
      <c r="Z225" s="110">
        <f t="shared" si="52"/>
        <v>0</v>
      </c>
      <c r="AA225" s="110">
        <f t="shared" si="43"/>
        <v>0</v>
      </c>
      <c r="AB225" s="110">
        <f t="shared" si="56"/>
        <v>0</v>
      </c>
      <c r="AC225" s="371" t="s">
        <v>163</v>
      </c>
      <c r="AD225" s="371" t="s">
        <v>148</v>
      </c>
      <c r="AE225" s="371" t="s">
        <v>149</v>
      </c>
      <c r="AF225" s="371"/>
    </row>
    <row r="226" spans="1:32" ht="13.5" hidden="1" thickBot="1" x14ac:dyDescent="0.25">
      <c r="A226" s="14" t="str">
        <f t="shared" si="53"/>
        <v/>
      </c>
      <c r="B226" s="21" t="s">
        <v>474</v>
      </c>
      <c r="C226" s="15"/>
      <c r="D226" s="242"/>
      <c r="E226" s="280">
        <v>0.75</v>
      </c>
      <c r="F226" s="85">
        <v>600</v>
      </c>
      <c r="G226" s="85"/>
      <c r="H226" s="15" t="s">
        <v>66</v>
      </c>
      <c r="I226" s="18"/>
      <c r="J226" s="15"/>
      <c r="K226" s="15"/>
      <c r="L226" s="15"/>
      <c r="M226" s="15"/>
      <c r="N226" s="15"/>
      <c r="O226" s="15"/>
      <c r="P226" s="15"/>
      <c r="Q226" s="15"/>
      <c r="R226" s="15"/>
      <c r="S226" s="19">
        <f t="shared" si="54"/>
        <v>0</v>
      </c>
      <c r="T226" s="7" t="s">
        <v>493</v>
      </c>
      <c r="U226" s="66">
        <f>0.9*AF$186</f>
        <v>0.9</v>
      </c>
      <c r="V226" s="31">
        <f t="shared" si="55"/>
        <v>0</v>
      </c>
      <c r="W226" s="35">
        <f>Rate!D$3</f>
        <v>34.5</v>
      </c>
      <c r="X226" s="110">
        <f t="shared" si="50"/>
        <v>0</v>
      </c>
      <c r="Y226" s="110">
        <f t="shared" si="51"/>
        <v>0</v>
      </c>
      <c r="Z226" s="110">
        <f t="shared" si="52"/>
        <v>0</v>
      </c>
      <c r="AA226" s="110">
        <f t="shared" si="43"/>
        <v>0</v>
      </c>
      <c r="AB226" s="110">
        <f t="shared" si="56"/>
        <v>0</v>
      </c>
      <c r="AC226" s="371" t="s">
        <v>163</v>
      </c>
      <c r="AD226" s="371" t="s">
        <v>148</v>
      </c>
      <c r="AE226" s="371" t="s">
        <v>149</v>
      </c>
      <c r="AF226" s="371"/>
    </row>
    <row r="227" spans="1:32" ht="13.5" hidden="1" thickBot="1" x14ac:dyDescent="0.25">
      <c r="A227" s="14" t="str">
        <f t="shared" si="53"/>
        <v/>
      </c>
      <c r="B227" s="21" t="s">
        <v>474</v>
      </c>
      <c r="C227" s="15"/>
      <c r="D227" s="242"/>
      <c r="E227" s="280">
        <v>1</v>
      </c>
      <c r="F227" s="85">
        <v>600</v>
      </c>
      <c r="G227" s="85"/>
      <c r="H227" s="15" t="s">
        <v>66</v>
      </c>
      <c r="I227" s="18"/>
      <c r="J227" s="15"/>
      <c r="K227" s="15"/>
      <c r="L227" s="15"/>
      <c r="M227" s="15"/>
      <c r="N227" s="15"/>
      <c r="O227" s="15"/>
      <c r="P227" s="15"/>
      <c r="Q227" s="15"/>
      <c r="R227" s="15"/>
      <c r="S227" s="19">
        <f t="shared" si="54"/>
        <v>0</v>
      </c>
      <c r="T227" s="7" t="s">
        <v>493</v>
      </c>
      <c r="U227" s="66">
        <f>0.9*AF$186</f>
        <v>0.9</v>
      </c>
      <c r="V227" s="31">
        <f t="shared" si="55"/>
        <v>0</v>
      </c>
      <c r="W227" s="35">
        <f>Rate!D$3</f>
        <v>34.5</v>
      </c>
      <c r="X227" s="110">
        <f t="shared" si="50"/>
        <v>0</v>
      </c>
      <c r="Y227" s="110">
        <f t="shared" si="51"/>
        <v>0</v>
      </c>
      <c r="Z227" s="110">
        <f t="shared" si="52"/>
        <v>0</v>
      </c>
      <c r="AA227" s="110">
        <f t="shared" si="43"/>
        <v>0</v>
      </c>
      <c r="AB227" s="110">
        <f t="shared" si="56"/>
        <v>0</v>
      </c>
      <c r="AC227" s="371" t="s">
        <v>163</v>
      </c>
      <c r="AD227" s="371" t="s">
        <v>148</v>
      </c>
      <c r="AE227" s="371" t="s">
        <v>149</v>
      </c>
      <c r="AF227" s="371"/>
    </row>
    <row r="228" spans="1:32" ht="13.5" hidden="1" thickBot="1" x14ac:dyDescent="0.25">
      <c r="A228" s="14" t="str">
        <f t="shared" si="53"/>
        <v/>
      </c>
      <c r="B228" s="21" t="s">
        <v>474</v>
      </c>
      <c r="C228" s="15"/>
      <c r="D228" s="242"/>
      <c r="E228" s="280">
        <v>1.5</v>
      </c>
      <c r="F228" s="85">
        <v>600</v>
      </c>
      <c r="G228" s="85"/>
      <c r="H228" s="15" t="s">
        <v>66</v>
      </c>
      <c r="I228" s="18"/>
      <c r="J228" s="15"/>
      <c r="K228" s="15"/>
      <c r="L228" s="15"/>
      <c r="M228" s="15"/>
      <c r="N228" s="15"/>
      <c r="O228" s="15"/>
      <c r="P228" s="15"/>
      <c r="Q228" s="15"/>
      <c r="R228" s="15"/>
      <c r="S228" s="19">
        <f t="shared" si="54"/>
        <v>0</v>
      </c>
      <c r="T228" s="7" t="s">
        <v>493</v>
      </c>
      <c r="U228" s="66">
        <f>0.9*AF$186</f>
        <v>0.9</v>
      </c>
      <c r="V228" s="31">
        <f t="shared" si="55"/>
        <v>0</v>
      </c>
      <c r="W228" s="35">
        <f>Rate!D$3</f>
        <v>34.5</v>
      </c>
      <c r="X228" s="110">
        <f t="shared" si="50"/>
        <v>0</v>
      </c>
      <c r="Y228" s="110">
        <f t="shared" si="51"/>
        <v>0</v>
      </c>
      <c r="Z228" s="110">
        <f t="shared" si="52"/>
        <v>0</v>
      </c>
      <c r="AA228" s="110">
        <f t="shared" si="43"/>
        <v>0</v>
      </c>
      <c r="AB228" s="110">
        <f t="shared" si="56"/>
        <v>0</v>
      </c>
      <c r="AC228" s="371" t="s">
        <v>163</v>
      </c>
      <c r="AD228" s="371" t="s">
        <v>148</v>
      </c>
      <c r="AE228" s="371" t="s">
        <v>149</v>
      </c>
      <c r="AF228" s="371"/>
    </row>
    <row r="229" spans="1:32" ht="13.5" hidden="1" thickBot="1" x14ac:dyDescent="0.25">
      <c r="A229" s="14" t="str">
        <f t="shared" si="53"/>
        <v/>
      </c>
      <c r="B229" s="21" t="s">
        <v>474</v>
      </c>
      <c r="C229" s="15"/>
      <c r="D229" s="242"/>
      <c r="E229" s="280">
        <v>2</v>
      </c>
      <c r="F229" s="85">
        <v>600</v>
      </c>
      <c r="G229" s="85"/>
      <c r="H229" s="15" t="s">
        <v>66</v>
      </c>
      <c r="I229" s="18"/>
      <c r="J229" s="15"/>
      <c r="K229" s="15"/>
      <c r="L229" s="15"/>
      <c r="M229" s="15"/>
      <c r="N229" s="15"/>
      <c r="O229" s="15"/>
      <c r="P229" s="15"/>
      <c r="Q229" s="15"/>
      <c r="R229" s="15"/>
      <c r="S229" s="19">
        <f t="shared" si="54"/>
        <v>0</v>
      </c>
      <c r="T229" s="7" t="s">
        <v>493</v>
      </c>
      <c r="U229" s="66">
        <f>0.9*AF$186</f>
        <v>0.9</v>
      </c>
      <c r="V229" s="31">
        <f t="shared" si="55"/>
        <v>0</v>
      </c>
      <c r="W229" s="35">
        <f>Rate!D$3</f>
        <v>34.5</v>
      </c>
      <c r="X229" s="110">
        <f t="shared" si="50"/>
        <v>0</v>
      </c>
      <c r="Y229" s="110">
        <f t="shared" si="51"/>
        <v>0</v>
      </c>
      <c r="Z229" s="110">
        <f t="shared" si="52"/>
        <v>0</v>
      </c>
      <c r="AA229" s="110">
        <f t="shared" si="43"/>
        <v>0</v>
      </c>
      <c r="AB229" s="110">
        <f t="shared" si="56"/>
        <v>0</v>
      </c>
      <c r="AC229" s="371" t="s">
        <v>163</v>
      </c>
      <c r="AD229" s="371" t="s">
        <v>148</v>
      </c>
      <c r="AE229" s="371" t="s">
        <v>149</v>
      </c>
      <c r="AF229" s="371"/>
    </row>
    <row r="230" spans="1:32" ht="13.5" hidden="1" thickBot="1" x14ac:dyDescent="0.25">
      <c r="A230" s="14" t="str">
        <f t="shared" si="53"/>
        <v/>
      </c>
      <c r="B230" s="21" t="s">
        <v>474</v>
      </c>
      <c r="C230" s="15"/>
      <c r="D230" s="242"/>
      <c r="E230" s="280">
        <v>3</v>
      </c>
      <c r="F230" s="85">
        <v>600</v>
      </c>
      <c r="G230" s="85"/>
      <c r="H230" s="15" t="s">
        <v>66</v>
      </c>
      <c r="I230" s="18"/>
      <c r="J230" s="15"/>
      <c r="K230" s="15"/>
      <c r="L230" s="15"/>
      <c r="M230" s="15"/>
      <c r="N230" s="15"/>
      <c r="O230" s="15"/>
      <c r="P230" s="15"/>
      <c r="Q230" s="15"/>
      <c r="R230" s="15"/>
      <c r="S230" s="19">
        <f t="shared" si="54"/>
        <v>0</v>
      </c>
      <c r="T230" s="7" t="s">
        <v>493</v>
      </c>
      <c r="U230" s="66">
        <f>1*AF$186</f>
        <v>1</v>
      </c>
      <c r="V230" s="31">
        <f t="shared" si="55"/>
        <v>0</v>
      </c>
      <c r="W230" s="35">
        <f>Rate!D$3</f>
        <v>34.5</v>
      </c>
      <c r="X230" s="110">
        <f t="shared" si="50"/>
        <v>0</v>
      </c>
      <c r="Y230" s="110">
        <f t="shared" si="51"/>
        <v>0</v>
      </c>
      <c r="Z230" s="110">
        <f t="shared" si="52"/>
        <v>0</v>
      </c>
      <c r="AA230" s="110">
        <f t="shared" si="43"/>
        <v>0</v>
      </c>
      <c r="AB230" s="110">
        <f t="shared" si="56"/>
        <v>0</v>
      </c>
      <c r="AC230" s="371" t="s">
        <v>163</v>
      </c>
      <c r="AD230" s="371" t="s">
        <v>148</v>
      </c>
      <c r="AE230" s="371" t="s">
        <v>149</v>
      </c>
      <c r="AF230" s="371"/>
    </row>
    <row r="231" spans="1:32" ht="13.5" hidden="1" thickBot="1" x14ac:dyDescent="0.25">
      <c r="A231" s="14" t="str">
        <f t="shared" si="53"/>
        <v/>
      </c>
      <c r="B231" s="21" t="s">
        <v>474</v>
      </c>
      <c r="C231" s="15"/>
      <c r="D231" s="242"/>
      <c r="E231" s="280">
        <v>4</v>
      </c>
      <c r="F231" s="85">
        <v>600</v>
      </c>
      <c r="G231" s="85"/>
      <c r="H231" s="15" t="s">
        <v>66</v>
      </c>
      <c r="I231" s="18"/>
      <c r="J231" s="15"/>
      <c r="K231" s="15"/>
      <c r="L231" s="15"/>
      <c r="M231" s="15"/>
      <c r="N231" s="15"/>
      <c r="O231" s="15"/>
      <c r="P231" s="15"/>
      <c r="Q231" s="15"/>
      <c r="R231" s="15"/>
      <c r="S231" s="19">
        <f t="shared" si="54"/>
        <v>0</v>
      </c>
      <c r="T231" s="7" t="s">
        <v>493</v>
      </c>
      <c r="U231" s="66">
        <f>1.5*AF$186</f>
        <v>1.5</v>
      </c>
      <c r="V231" s="31">
        <f t="shared" si="55"/>
        <v>0</v>
      </c>
      <c r="W231" s="35">
        <f>Rate!D$3</f>
        <v>34.5</v>
      </c>
      <c r="X231" s="110">
        <f t="shared" si="50"/>
        <v>0</v>
      </c>
      <c r="Y231" s="110">
        <f t="shared" si="51"/>
        <v>0</v>
      </c>
      <c r="Z231" s="110">
        <f t="shared" si="52"/>
        <v>0</v>
      </c>
      <c r="AA231" s="110">
        <f t="shared" ref="AA231:AA292" si="57">IF(H231="E",G231*S231*W231,0)</f>
        <v>0</v>
      </c>
      <c r="AB231" s="110">
        <f t="shared" si="56"/>
        <v>0</v>
      </c>
      <c r="AC231" s="371" t="s">
        <v>163</v>
      </c>
      <c r="AD231" s="371" t="s">
        <v>148</v>
      </c>
      <c r="AE231" s="371" t="s">
        <v>149</v>
      </c>
      <c r="AF231" s="371"/>
    </row>
    <row r="232" spans="1:32" ht="13.5" hidden="1" thickBot="1" x14ac:dyDescent="0.25">
      <c r="A232" s="14" t="str">
        <f t="shared" si="53"/>
        <v/>
      </c>
      <c r="B232" s="21" t="s">
        <v>474</v>
      </c>
      <c r="C232" s="15"/>
      <c r="D232" s="242"/>
      <c r="E232" s="280">
        <v>6</v>
      </c>
      <c r="F232" s="85">
        <v>600</v>
      </c>
      <c r="G232" s="85"/>
      <c r="H232" s="15" t="s">
        <v>66</v>
      </c>
      <c r="I232" s="18"/>
      <c r="J232" s="15"/>
      <c r="K232" s="15"/>
      <c r="L232" s="15"/>
      <c r="M232" s="15"/>
      <c r="N232" s="15"/>
      <c r="O232" s="15"/>
      <c r="P232" s="15"/>
      <c r="Q232" s="15"/>
      <c r="R232" s="15"/>
      <c r="S232" s="19">
        <f t="shared" si="54"/>
        <v>0</v>
      </c>
      <c r="T232" s="7" t="s">
        <v>493</v>
      </c>
      <c r="U232" s="66">
        <f>1.8*AF$186</f>
        <v>1.8</v>
      </c>
      <c r="V232" s="31">
        <f t="shared" si="55"/>
        <v>0</v>
      </c>
      <c r="W232" s="35">
        <f>Rate!D$3</f>
        <v>34.5</v>
      </c>
      <c r="X232" s="110">
        <f t="shared" si="50"/>
        <v>0</v>
      </c>
      <c r="Y232" s="110">
        <f t="shared" si="51"/>
        <v>0</v>
      </c>
      <c r="Z232" s="110">
        <f t="shared" si="52"/>
        <v>0</v>
      </c>
      <c r="AA232" s="110">
        <f t="shared" si="57"/>
        <v>0</v>
      </c>
      <c r="AB232" s="110">
        <f t="shared" si="56"/>
        <v>0</v>
      </c>
      <c r="AC232" s="371" t="s">
        <v>163</v>
      </c>
      <c r="AD232" s="371" t="s">
        <v>148</v>
      </c>
      <c r="AE232" s="371" t="s">
        <v>149</v>
      </c>
      <c r="AF232" s="371"/>
    </row>
    <row r="233" spans="1:32" ht="13.5" hidden="1" thickBot="1" x14ac:dyDescent="0.25">
      <c r="A233" s="14" t="str">
        <f t="shared" si="53"/>
        <v/>
      </c>
      <c r="B233" s="21" t="s">
        <v>474</v>
      </c>
      <c r="C233" s="15"/>
      <c r="D233" s="242"/>
      <c r="E233" s="280">
        <v>8</v>
      </c>
      <c r="F233" s="85">
        <v>600</v>
      </c>
      <c r="G233" s="85"/>
      <c r="H233" s="15" t="s">
        <v>66</v>
      </c>
      <c r="I233" s="18"/>
      <c r="J233" s="15"/>
      <c r="K233" s="15"/>
      <c r="L233" s="15"/>
      <c r="M233" s="15"/>
      <c r="N233" s="15"/>
      <c r="O233" s="15"/>
      <c r="P233" s="15"/>
      <c r="Q233" s="15"/>
      <c r="R233" s="15"/>
      <c r="S233" s="19">
        <f t="shared" si="54"/>
        <v>0</v>
      </c>
      <c r="T233" s="7" t="s">
        <v>493</v>
      </c>
      <c r="U233" s="66">
        <f>2.6*AF$186</f>
        <v>2.6</v>
      </c>
      <c r="V233" s="31">
        <f t="shared" si="55"/>
        <v>0</v>
      </c>
      <c r="W233" s="35">
        <f>Rate!D$3</f>
        <v>34.5</v>
      </c>
      <c r="X233" s="110">
        <f t="shared" si="50"/>
        <v>0</v>
      </c>
      <c r="Y233" s="110">
        <f t="shared" si="51"/>
        <v>0</v>
      </c>
      <c r="Z233" s="110">
        <f t="shared" si="52"/>
        <v>0</v>
      </c>
      <c r="AA233" s="110">
        <f t="shared" si="57"/>
        <v>0</v>
      </c>
      <c r="AB233" s="110">
        <f t="shared" si="56"/>
        <v>0</v>
      </c>
      <c r="AC233" s="371" t="s">
        <v>163</v>
      </c>
      <c r="AD233" s="371" t="s">
        <v>148</v>
      </c>
      <c r="AE233" s="371" t="s">
        <v>149</v>
      </c>
      <c r="AF233" s="371"/>
    </row>
    <row r="234" spans="1:32" ht="13.5" hidden="1" thickBot="1" x14ac:dyDescent="0.25">
      <c r="A234" s="14" t="str">
        <f t="shared" si="53"/>
        <v/>
      </c>
      <c r="B234" s="21" t="s">
        <v>474</v>
      </c>
      <c r="C234" s="15"/>
      <c r="D234" s="242"/>
      <c r="E234" s="280">
        <v>10</v>
      </c>
      <c r="F234" s="85">
        <v>600</v>
      </c>
      <c r="G234" s="85"/>
      <c r="H234" s="15" t="s">
        <v>66</v>
      </c>
      <c r="I234" s="18"/>
      <c r="J234" s="15"/>
      <c r="K234" s="15"/>
      <c r="L234" s="15"/>
      <c r="M234" s="15"/>
      <c r="N234" s="15"/>
      <c r="O234" s="15"/>
      <c r="P234" s="15"/>
      <c r="Q234" s="15"/>
      <c r="R234" s="15"/>
      <c r="S234" s="19">
        <f t="shared" si="54"/>
        <v>0</v>
      </c>
      <c r="T234" s="7" t="s">
        <v>493</v>
      </c>
      <c r="U234" s="66">
        <f>3.2*AF$186</f>
        <v>3.2</v>
      </c>
      <c r="V234" s="31">
        <f t="shared" si="55"/>
        <v>0</v>
      </c>
      <c r="W234" s="35">
        <f>Rate!D$3</f>
        <v>34.5</v>
      </c>
      <c r="X234" s="110">
        <f t="shared" si="50"/>
        <v>0</v>
      </c>
      <c r="Y234" s="110">
        <f t="shared" si="51"/>
        <v>0</v>
      </c>
      <c r="Z234" s="110">
        <f t="shared" si="52"/>
        <v>0</v>
      </c>
      <c r="AA234" s="110">
        <f t="shared" si="57"/>
        <v>0</v>
      </c>
      <c r="AB234" s="110">
        <f t="shared" si="56"/>
        <v>0</v>
      </c>
      <c r="AC234" s="371" t="s">
        <v>163</v>
      </c>
      <c r="AD234" s="371" t="s">
        <v>148</v>
      </c>
      <c r="AE234" s="371" t="s">
        <v>149</v>
      </c>
      <c r="AF234" s="371"/>
    </row>
    <row r="235" spans="1:32" ht="13.5" hidden="1" thickBot="1" x14ac:dyDescent="0.25">
      <c r="A235" s="14" t="str">
        <f t="shared" si="53"/>
        <v/>
      </c>
      <c r="B235" s="21" t="s">
        <v>474</v>
      </c>
      <c r="C235" s="15"/>
      <c r="D235" s="242"/>
      <c r="E235" s="280">
        <v>12</v>
      </c>
      <c r="F235" s="85">
        <v>600</v>
      </c>
      <c r="G235" s="85"/>
      <c r="H235" s="15" t="s">
        <v>66</v>
      </c>
      <c r="I235" s="18"/>
      <c r="J235" s="15"/>
      <c r="K235" s="15"/>
      <c r="L235" s="15"/>
      <c r="M235" s="15"/>
      <c r="N235" s="15"/>
      <c r="O235" s="15"/>
      <c r="P235" s="15"/>
      <c r="Q235" s="15"/>
      <c r="R235" s="15"/>
      <c r="S235" s="19">
        <f t="shared" si="54"/>
        <v>0</v>
      </c>
      <c r="T235" s="7" t="s">
        <v>493</v>
      </c>
      <c r="U235" s="66">
        <f>4.1*AF$186</f>
        <v>4.0999999999999996</v>
      </c>
      <c r="V235" s="31">
        <f t="shared" si="55"/>
        <v>0</v>
      </c>
      <c r="W235" s="35">
        <f>Rate!D$3</f>
        <v>34.5</v>
      </c>
      <c r="X235" s="110">
        <f t="shared" si="50"/>
        <v>0</v>
      </c>
      <c r="Y235" s="110">
        <f t="shared" si="51"/>
        <v>0</v>
      </c>
      <c r="Z235" s="110">
        <f t="shared" si="52"/>
        <v>0</v>
      </c>
      <c r="AA235" s="110">
        <f t="shared" si="57"/>
        <v>0</v>
      </c>
      <c r="AB235" s="110">
        <f t="shared" si="56"/>
        <v>0</v>
      </c>
      <c r="AC235" s="371" t="s">
        <v>163</v>
      </c>
      <c r="AD235" s="371" t="s">
        <v>148</v>
      </c>
      <c r="AE235" s="371" t="s">
        <v>149</v>
      </c>
      <c r="AF235" s="371"/>
    </row>
    <row r="236" spans="1:32" ht="13.5" hidden="1" thickBot="1" x14ac:dyDescent="0.25">
      <c r="A236" s="14" t="str">
        <f t="shared" si="53"/>
        <v/>
      </c>
      <c r="B236" s="21" t="s">
        <v>474</v>
      </c>
      <c r="C236" s="15"/>
      <c r="D236" s="242"/>
      <c r="E236" s="280">
        <v>14</v>
      </c>
      <c r="F236" s="85">
        <v>600</v>
      </c>
      <c r="G236" s="85"/>
      <c r="H236" s="15" t="s">
        <v>66</v>
      </c>
      <c r="I236" s="18"/>
      <c r="J236" s="15"/>
      <c r="K236" s="15"/>
      <c r="L236" s="15"/>
      <c r="M236" s="15"/>
      <c r="N236" s="15"/>
      <c r="O236" s="15"/>
      <c r="P236" s="15"/>
      <c r="Q236" s="15"/>
      <c r="R236" s="15"/>
      <c r="S236" s="19">
        <f t="shared" si="54"/>
        <v>0</v>
      </c>
      <c r="T236" s="7" t="s">
        <v>493</v>
      </c>
      <c r="U236" s="66">
        <f>4.6*AF$186</f>
        <v>4.5999999999999996</v>
      </c>
      <c r="V236" s="31">
        <f t="shared" si="55"/>
        <v>0</v>
      </c>
      <c r="W236" s="35">
        <f>Rate!D$3</f>
        <v>34.5</v>
      </c>
      <c r="X236" s="110">
        <f t="shared" si="50"/>
        <v>0</v>
      </c>
      <c r="Y236" s="110">
        <f t="shared" si="51"/>
        <v>0</v>
      </c>
      <c r="Z236" s="110">
        <f t="shared" si="52"/>
        <v>0</v>
      </c>
      <c r="AA236" s="110">
        <f t="shared" si="57"/>
        <v>0</v>
      </c>
      <c r="AB236" s="110">
        <f t="shared" si="56"/>
        <v>0</v>
      </c>
      <c r="AC236" s="371" t="s">
        <v>163</v>
      </c>
      <c r="AD236" s="371" t="s">
        <v>148</v>
      </c>
      <c r="AE236" s="371" t="s">
        <v>149</v>
      </c>
      <c r="AF236" s="371"/>
    </row>
    <row r="237" spans="1:32" ht="13.5" hidden="1" thickBot="1" x14ac:dyDescent="0.25">
      <c r="A237" s="14" t="str">
        <f t="shared" si="53"/>
        <v/>
      </c>
      <c r="B237" s="21" t="s">
        <v>474</v>
      </c>
      <c r="C237" s="15"/>
      <c r="D237" s="242"/>
      <c r="E237" s="280">
        <v>16</v>
      </c>
      <c r="F237" s="85">
        <v>600</v>
      </c>
      <c r="G237" s="85"/>
      <c r="H237" s="15" t="s">
        <v>66</v>
      </c>
      <c r="I237" s="18"/>
      <c r="J237" s="15"/>
      <c r="K237" s="15"/>
      <c r="L237" s="15"/>
      <c r="M237" s="15"/>
      <c r="N237" s="15"/>
      <c r="O237" s="15"/>
      <c r="P237" s="15"/>
      <c r="Q237" s="15"/>
      <c r="R237" s="15"/>
      <c r="S237" s="19">
        <f t="shared" si="54"/>
        <v>0</v>
      </c>
      <c r="T237" s="7" t="s">
        <v>493</v>
      </c>
      <c r="U237" s="66">
        <f>5.2*AF$186</f>
        <v>5.2</v>
      </c>
      <c r="V237" s="31">
        <f t="shared" si="55"/>
        <v>0</v>
      </c>
      <c r="W237" s="35">
        <f>Rate!D$3</f>
        <v>34.5</v>
      </c>
      <c r="X237" s="110">
        <f t="shared" si="50"/>
        <v>0</v>
      </c>
      <c r="Y237" s="110">
        <f t="shared" si="51"/>
        <v>0</v>
      </c>
      <c r="Z237" s="110">
        <f t="shared" si="52"/>
        <v>0</v>
      </c>
      <c r="AA237" s="110">
        <f t="shared" si="57"/>
        <v>0</v>
      </c>
      <c r="AB237" s="110">
        <f t="shared" si="56"/>
        <v>0</v>
      </c>
      <c r="AC237" s="371" t="s">
        <v>163</v>
      </c>
      <c r="AD237" s="371" t="s">
        <v>148</v>
      </c>
      <c r="AE237" s="371" t="s">
        <v>149</v>
      </c>
      <c r="AF237" s="371"/>
    </row>
    <row r="238" spans="1:32" ht="13.5" hidden="1" thickBot="1" x14ac:dyDescent="0.25">
      <c r="A238" s="14" t="str">
        <f t="shared" si="53"/>
        <v/>
      </c>
      <c r="B238" s="21" t="s">
        <v>474</v>
      </c>
      <c r="C238" s="15"/>
      <c r="D238" s="242"/>
      <c r="E238" s="280">
        <v>18</v>
      </c>
      <c r="F238" s="85">
        <v>600</v>
      </c>
      <c r="G238" s="85"/>
      <c r="H238" s="15" t="s">
        <v>66</v>
      </c>
      <c r="I238" s="18"/>
      <c r="J238" s="15"/>
      <c r="K238" s="15"/>
      <c r="L238" s="15"/>
      <c r="M238" s="15"/>
      <c r="N238" s="15"/>
      <c r="O238" s="15"/>
      <c r="P238" s="15"/>
      <c r="Q238" s="15"/>
      <c r="R238" s="15"/>
      <c r="S238" s="19">
        <f t="shared" si="54"/>
        <v>0</v>
      </c>
      <c r="T238" s="7" t="s">
        <v>493</v>
      </c>
      <c r="U238" s="66">
        <f>5.8*AF$186</f>
        <v>5.8</v>
      </c>
      <c r="V238" s="31">
        <f t="shared" si="55"/>
        <v>0</v>
      </c>
      <c r="W238" s="35">
        <f>Rate!D$3</f>
        <v>34.5</v>
      </c>
      <c r="X238" s="110">
        <f t="shared" si="50"/>
        <v>0</v>
      </c>
      <c r="Y238" s="110">
        <f t="shared" si="51"/>
        <v>0</v>
      </c>
      <c r="Z238" s="110">
        <f t="shared" si="52"/>
        <v>0</v>
      </c>
      <c r="AA238" s="110">
        <f t="shared" si="57"/>
        <v>0</v>
      </c>
      <c r="AB238" s="110">
        <f t="shared" si="56"/>
        <v>0</v>
      </c>
      <c r="AC238" s="371" t="s">
        <v>163</v>
      </c>
      <c r="AD238" s="371" t="s">
        <v>148</v>
      </c>
      <c r="AE238" s="371" t="s">
        <v>149</v>
      </c>
      <c r="AF238" s="371"/>
    </row>
    <row r="239" spans="1:32" ht="13.5" hidden="1" thickBot="1" x14ac:dyDescent="0.25">
      <c r="A239" s="14" t="str">
        <f t="shared" si="53"/>
        <v/>
      </c>
      <c r="B239" s="21" t="s">
        <v>474</v>
      </c>
      <c r="C239" s="15"/>
      <c r="D239" s="242"/>
      <c r="E239" s="280">
        <v>20</v>
      </c>
      <c r="F239" s="85">
        <v>600</v>
      </c>
      <c r="G239" s="85"/>
      <c r="H239" s="15" t="s">
        <v>66</v>
      </c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9">
        <f t="shared" si="54"/>
        <v>0</v>
      </c>
      <c r="T239" s="7" t="s">
        <v>493</v>
      </c>
      <c r="U239" s="66">
        <f>6.6*AF$186</f>
        <v>6.6</v>
      </c>
      <c r="V239" s="31">
        <f t="shared" si="55"/>
        <v>0</v>
      </c>
      <c r="W239" s="35">
        <f>Rate!D$3</f>
        <v>34.5</v>
      </c>
      <c r="X239" s="110">
        <f t="shared" si="50"/>
        <v>0</v>
      </c>
      <c r="Y239" s="110">
        <f t="shared" si="51"/>
        <v>0</v>
      </c>
      <c r="Z239" s="110">
        <f t="shared" si="52"/>
        <v>0</v>
      </c>
      <c r="AA239" s="110">
        <f t="shared" si="57"/>
        <v>0</v>
      </c>
      <c r="AB239" s="110">
        <f t="shared" si="56"/>
        <v>0</v>
      </c>
      <c r="AC239" s="371" t="s">
        <v>163</v>
      </c>
      <c r="AD239" s="371" t="s">
        <v>148</v>
      </c>
      <c r="AE239" s="371" t="s">
        <v>149</v>
      </c>
      <c r="AF239" s="371"/>
    </row>
    <row r="240" spans="1:32" ht="13.5" hidden="1" thickBot="1" x14ac:dyDescent="0.25">
      <c r="A240" s="14" t="str">
        <f t="shared" si="53"/>
        <v/>
      </c>
      <c r="B240" s="21" t="s">
        <v>474</v>
      </c>
      <c r="C240" s="15"/>
      <c r="D240" s="242"/>
      <c r="E240" s="280">
        <v>24</v>
      </c>
      <c r="F240" s="85">
        <v>600</v>
      </c>
      <c r="G240" s="85"/>
      <c r="H240" s="15" t="s">
        <v>66</v>
      </c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9">
        <f t="shared" si="54"/>
        <v>0</v>
      </c>
      <c r="T240" s="7" t="s">
        <v>493</v>
      </c>
      <c r="U240" s="66">
        <f>7.9*AF$186</f>
        <v>7.9</v>
      </c>
      <c r="V240" s="31">
        <f t="shared" si="55"/>
        <v>0</v>
      </c>
      <c r="W240" s="35">
        <f>Rate!D$3</f>
        <v>34.5</v>
      </c>
      <c r="X240" s="110">
        <f t="shared" si="50"/>
        <v>0</v>
      </c>
      <c r="Y240" s="110">
        <f t="shared" si="51"/>
        <v>0</v>
      </c>
      <c r="Z240" s="110">
        <f t="shared" si="52"/>
        <v>0</v>
      </c>
      <c r="AA240" s="110">
        <f t="shared" si="57"/>
        <v>0</v>
      </c>
      <c r="AB240" s="110">
        <f t="shared" si="56"/>
        <v>0</v>
      </c>
      <c r="AC240" s="371" t="s">
        <v>163</v>
      </c>
      <c r="AD240" s="371" t="s">
        <v>148</v>
      </c>
      <c r="AE240" s="371" t="s">
        <v>149</v>
      </c>
      <c r="AF240" s="371"/>
    </row>
    <row r="241" spans="1:32" ht="13.5" hidden="1" thickBot="1" x14ac:dyDescent="0.25">
      <c r="A241" s="14" t="str">
        <f t="shared" si="53"/>
        <v/>
      </c>
      <c r="B241" s="21" t="s">
        <v>474</v>
      </c>
      <c r="C241" s="15"/>
      <c r="D241" s="242"/>
      <c r="E241" s="280">
        <v>30</v>
      </c>
      <c r="F241" s="85">
        <v>600</v>
      </c>
      <c r="G241" s="85"/>
      <c r="H241" s="15" t="s">
        <v>66</v>
      </c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9">
        <f t="shared" si="54"/>
        <v>0</v>
      </c>
      <c r="T241" s="7" t="s">
        <v>493</v>
      </c>
      <c r="U241" s="66">
        <f>9.4*AF$186</f>
        <v>9.4</v>
      </c>
      <c r="V241" s="31">
        <f t="shared" si="55"/>
        <v>0</v>
      </c>
      <c r="W241" s="35">
        <f>Rate!D$3</f>
        <v>34.5</v>
      </c>
      <c r="X241" s="110">
        <f t="shared" si="50"/>
        <v>0</v>
      </c>
      <c r="Y241" s="110">
        <f t="shared" si="51"/>
        <v>0</v>
      </c>
      <c r="Z241" s="110">
        <f t="shared" si="52"/>
        <v>0</v>
      </c>
      <c r="AA241" s="110">
        <f t="shared" si="57"/>
        <v>0</v>
      </c>
      <c r="AB241" s="110">
        <f t="shared" si="56"/>
        <v>0</v>
      </c>
      <c r="AC241" s="371" t="s">
        <v>163</v>
      </c>
      <c r="AD241" s="371" t="s">
        <v>148</v>
      </c>
      <c r="AE241" s="371" t="s">
        <v>149</v>
      </c>
      <c r="AF241" s="371"/>
    </row>
    <row r="242" spans="1:32" ht="13.5" hidden="1" thickBot="1" x14ac:dyDescent="0.25">
      <c r="A242" s="14" t="str">
        <f t="shared" si="53"/>
        <v/>
      </c>
      <c r="B242" s="21" t="s">
        <v>474</v>
      </c>
      <c r="C242" s="15"/>
      <c r="D242" s="242"/>
      <c r="E242" s="280">
        <v>36</v>
      </c>
      <c r="F242" s="85">
        <v>600</v>
      </c>
      <c r="G242" s="85"/>
      <c r="H242" s="15" t="s">
        <v>66</v>
      </c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9">
        <f t="shared" si="54"/>
        <v>0</v>
      </c>
      <c r="T242" s="7" t="s">
        <v>493</v>
      </c>
      <c r="U242" s="66">
        <f>10.8*AF$186</f>
        <v>10.8</v>
      </c>
      <c r="V242" s="31">
        <f t="shared" si="55"/>
        <v>0</v>
      </c>
      <c r="W242" s="35">
        <f>Rate!D$3</f>
        <v>34.5</v>
      </c>
      <c r="X242" s="110">
        <f t="shared" si="50"/>
        <v>0</v>
      </c>
      <c r="Y242" s="110">
        <f t="shared" si="51"/>
        <v>0</v>
      </c>
      <c r="Z242" s="110">
        <f t="shared" si="52"/>
        <v>0</v>
      </c>
      <c r="AA242" s="110">
        <f t="shared" si="57"/>
        <v>0</v>
      </c>
      <c r="AB242" s="110">
        <f t="shared" si="56"/>
        <v>0</v>
      </c>
      <c r="AC242" s="371" t="s">
        <v>163</v>
      </c>
      <c r="AD242" s="371" t="s">
        <v>148</v>
      </c>
      <c r="AE242" s="371" t="s">
        <v>149</v>
      </c>
      <c r="AF242" s="371"/>
    </row>
    <row r="243" spans="1:32" ht="13.5" hidden="1" thickBot="1" x14ac:dyDescent="0.25">
      <c r="A243" s="14" t="str">
        <f t="shared" si="53"/>
        <v/>
      </c>
      <c r="B243" s="21" t="s">
        <v>474</v>
      </c>
      <c r="C243" s="15"/>
      <c r="D243" s="242"/>
      <c r="E243" s="280">
        <v>48</v>
      </c>
      <c r="F243" s="85">
        <v>600</v>
      </c>
      <c r="G243" s="85"/>
      <c r="H243" s="15" t="s">
        <v>66</v>
      </c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9">
        <f>SUM(I243:R243)</f>
        <v>0</v>
      </c>
      <c r="T243" s="7" t="s">
        <v>493</v>
      </c>
      <c r="U243" s="66">
        <f>15*AF$186</f>
        <v>15</v>
      </c>
      <c r="V243" s="31">
        <f t="shared" si="55"/>
        <v>0</v>
      </c>
      <c r="W243" s="35">
        <f>Rate!D$3</f>
        <v>34.5</v>
      </c>
      <c r="X243" s="110">
        <f t="shared" si="50"/>
        <v>0</v>
      </c>
      <c r="Y243" s="110">
        <f t="shared" si="51"/>
        <v>0</v>
      </c>
      <c r="Z243" s="110">
        <f t="shared" si="52"/>
        <v>0</v>
      </c>
      <c r="AA243" s="110">
        <f t="shared" si="57"/>
        <v>0</v>
      </c>
      <c r="AB243" s="110">
        <f>SUM(X243:AA243)</f>
        <v>0</v>
      </c>
      <c r="AC243" s="371" t="s">
        <v>163</v>
      </c>
      <c r="AD243" s="371" t="s">
        <v>148</v>
      </c>
      <c r="AE243" s="371" t="s">
        <v>149</v>
      </c>
      <c r="AF243" s="371"/>
    </row>
    <row r="244" spans="1:32" ht="13.5" hidden="1" thickBot="1" x14ac:dyDescent="0.25">
      <c r="A244" s="14" t="str">
        <f t="shared" si="53"/>
        <v/>
      </c>
      <c r="B244" s="21" t="s">
        <v>474</v>
      </c>
      <c r="C244" s="15"/>
      <c r="D244" s="242"/>
      <c r="E244" s="280">
        <v>0.5</v>
      </c>
      <c r="F244" s="85">
        <v>900</v>
      </c>
      <c r="G244" s="85"/>
      <c r="H244" s="15" t="s">
        <v>66</v>
      </c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9">
        <f>SUM(I244:R244)</f>
        <v>0</v>
      </c>
      <c r="T244" s="7" t="s">
        <v>493</v>
      </c>
      <c r="U244" s="66">
        <f>1*AF$186</f>
        <v>1</v>
      </c>
      <c r="V244" s="31">
        <f t="shared" si="55"/>
        <v>0</v>
      </c>
      <c r="W244" s="35">
        <f>Rate!D$3</f>
        <v>34.5</v>
      </c>
      <c r="X244" s="110">
        <f t="shared" si="50"/>
        <v>0</v>
      </c>
      <c r="Y244" s="110">
        <f t="shared" si="51"/>
        <v>0</v>
      </c>
      <c r="Z244" s="110">
        <f t="shared" si="52"/>
        <v>0</v>
      </c>
      <c r="AA244" s="110">
        <f t="shared" si="57"/>
        <v>0</v>
      </c>
      <c r="AB244" s="110">
        <f t="shared" ref="AB244" si="58">SUM(X244:AA244)</f>
        <v>0</v>
      </c>
      <c r="AC244" s="371" t="s">
        <v>163</v>
      </c>
      <c r="AD244" s="371" t="s">
        <v>148</v>
      </c>
      <c r="AE244" s="371" t="s">
        <v>149</v>
      </c>
      <c r="AF244" s="371"/>
    </row>
    <row r="245" spans="1:32" ht="13.5" hidden="1" thickBot="1" x14ac:dyDescent="0.25">
      <c r="A245" s="14" t="str">
        <f t="shared" si="53"/>
        <v/>
      </c>
      <c r="B245" s="21" t="s">
        <v>474</v>
      </c>
      <c r="C245" s="15"/>
      <c r="D245" s="242"/>
      <c r="E245" s="280">
        <v>0.75</v>
      </c>
      <c r="F245" s="85">
        <v>900</v>
      </c>
      <c r="G245" s="85"/>
      <c r="H245" s="15" t="s">
        <v>66</v>
      </c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9">
        <f t="shared" si="54"/>
        <v>0</v>
      </c>
      <c r="T245" s="7" t="s">
        <v>493</v>
      </c>
      <c r="U245" s="66">
        <f>1*AF$186</f>
        <v>1</v>
      </c>
      <c r="V245" s="31">
        <f t="shared" si="55"/>
        <v>0</v>
      </c>
      <c r="W245" s="35">
        <f>Rate!D$3</f>
        <v>34.5</v>
      </c>
      <c r="X245" s="110">
        <f t="shared" si="50"/>
        <v>0</v>
      </c>
      <c r="Y245" s="110">
        <f t="shared" si="51"/>
        <v>0</v>
      </c>
      <c r="Z245" s="110">
        <f t="shared" si="52"/>
        <v>0</v>
      </c>
      <c r="AA245" s="110">
        <f t="shared" si="57"/>
        <v>0</v>
      </c>
      <c r="AB245" s="110">
        <f t="shared" ref="AB245:AB258" si="59">SUM(X245:AA245)</f>
        <v>0</v>
      </c>
      <c r="AC245" s="371" t="s">
        <v>163</v>
      </c>
      <c r="AD245" s="371" t="s">
        <v>148</v>
      </c>
      <c r="AE245" s="371" t="s">
        <v>149</v>
      </c>
      <c r="AF245" s="371"/>
    </row>
    <row r="246" spans="1:32" ht="13.5" hidden="1" thickBot="1" x14ac:dyDescent="0.25">
      <c r="A246" s="14" t="str">
        <f t="shared" si="53"/>
        <v/>
      </c>
      <c r="B246" s="21" t="s">
        <v>474</v>
      </c>
      <c r="C246" s="15"/>
      <c r="D246" s="242"/>
      <c r="E246" s="280">
        <v>1</v>
      </c>
      <c r="F246" s="85">
        <v>900</v>
      </c>
      <c r="G246" s="85"/>
      <c r="H246" s="15" t="s">
        <v>66</v>
      </c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9">
        <f t="shared" si="54"/>
        <v>0</v>
      </c>
      <c r="T246" s="7" t="s">
        <v>493</v>
      </c>
      <c r="U246" s="66">
        <f>1*AF$186</f>
        <v>1</v>
      </c>
      <c r="V246" s="31">
        <f t="shared" si="55"/>
        <v>0</v>
      </c>
      <c r="W246" s="35">
        <f>Rate!D$3</f>
        <v>34.5</v>
      </c>
      <c r="X246" s="110">
        <f t="shared" si="50"/>
        <v>0</v>
      </c>
      <c r="Y246" s="110">
        <f t="shared" si="51"/>
        <v>0</v>
      </c>
      <c r="Z246" s="110">
        <f t="shared" si="52"/>
        <v>0</v>
      </c>
      <c r="AA246" s="110">
        <f t="shared" si="57"/>
        <v>0</v>
      </c>
      <c r="AB246" s="110">
        <f t="shared" si="59"/>
        <v>0</v>
      </c>
      <c r="AC246" s="371" t="s">
        <v>163</v>
      </c>
      <c r="AD246" s="371" t="s">
        <v>148</v>
      </c>
      <c r="AE246" s="371" t="s">
        <v>149</v>
      </c>
      <c r="AF246" s="371"/>
    </row>
    <row r="247" spans="1:32" ht="13.5" hidden="1" thickBot="1" x14ac:dyDescent="0.25">
      <c r="A247" s="14" t="str">
        <f t="shared" si="53"/>
        <v/>
      </c>
      <c r="B247" s="21" t="s">
        <v>474</v>
      </c>
      <c r="C247" s="15"/>
      <c r="D247" s="242"/>
      <c r="E247" s="280">
        <v>1.5</v>
      </c>
      <c r="F247" s="85">
        <v>900</v>
      </c>
      <c r="G247" s="85"/>
      <c r="H247" s="15" t="s">
        <v>66</v>
      </c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9">
        <f t="shared" si="54"/>
        <v>0</v>
      </c>
      <c r="T247" s="7" t="s">
        <v>493</v>
      </c>
      <c r="U247" s="66">
        <f>1*AF$186</f>
        <v>1</v>
      </c>
      <c r="V247" s="31">
        <f t="shared" si="55"/>
        <v>0</v>
      </c>
      <c r="W247" s="35">
        <f>Rate!D$3</f>
        <v>34.5</v>
      </c>
      <c r="X247" s="110">
        <f t="shared" si="50"/>
        <v>0</v>
      </c>
      <c r="Y247" s="110">
        <f t="shared" si="51"/>
        <v>0</v>
      </c>
      <c r="Z247" s="110">
        <f t="shared" si="52"/>
        <v>0</v>
      </c>
      <c r="AA247" s="110">
        <f t="shared" si="57"/>
        <v>0</v>
      </c>
      <c r="AB247" s="110">
        <f t="shared" si="59"/>
        <v>0</v>
      </c>
      <c r="AC247" s="371" t="s">
        <v>163</v>
      </c>
      <c r="AD247" s="371" t="s">
        <v>148</v>
      </c>
      <c r="AE247" s="371" t="s">
        <v>149</v>
      </c>
      <c r="AF247" s="371"/>
    </row>
    <row r="248" spans="1:32" ht="13.5" hidden="1" thickBot="1" x14ac:dyDescent="0.25">
      <c r="A248" s="14" t="str">
        <f t="shared" si="53"/>
        <v/>
      </c>
      <c r="B248" s="21" t="s">
        <v>474</v>
      </c>
      <c r="C248" s="15"/>
      <c r="D248" s="242"/>
      <c r="E248" s="280">
        <v>2</v>
      </c>
      <c r="F248" s="85">
        <v>900</v>
      </c>
      <c r="G248" s="85"/>
      <c r="H248" s="15" t="s">
        <v>66</v>
      </c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9">
        <f t="shared" si="54"/>
        <v>0</v>
      </c>
      <c r="T248" s="7" t="s">
        <v>493</v>
      </c>
      <c r="U248" s="66">
        <f>1*AF$186</f>
        <v>1</v>
      </c>
      <c r="V248" s="31">
        <f t="shared" si="55"/>
        <v>0</v>
      </c>
      <c r="W248" s="35">
        <f>Rate!D$3</f>
        <v>34.5</v>
      </c>
      <c r="X248" s="110">
        <f t="shared" si="50"/>
        <v>0</v>
      </c>
      <c r="Y248" s="110">
        <f t="shared" si="51"/>
        <v>0</v>
      </c>
      <c r="Z248" s="110">
        <f t="shared" si="52"/>
        <v>0</v>
      </c>
      <c r="AA248" s="110">
        <f t="shared" si="57"/>
        <v>0</v>
      </c>
      <c r="AB248" s="110">
        <f t="shared" si="59"/>
        <v>0</v>
      </c>
      <c r="AC248" s="371" t="s">
        <v>163</v>
      </c>
      <c r="AD248" s="371" t="s">
        <v>148</v>
      </c>
      <c r="AE248" s="371" t="s">
        <v>149</v>
      </c>
      <c r="AF248" s="371"/>
    </row>
    <row r="249" spans="1:32" ht="13.5" hidden="1" thickBot="1" x14ac:dyDescent="0.25">
      <c r="A249" s="14" t="str">
        <f t="shared" si="53"/>
        <v/>
      </c>
      <c r="B249" s="21" t="s">
        <v>474</v>
      </c>
      <c r="C249" s="15"/>
      <c r="D249" s="242"/>
      <c r="E249" s="280">
        <v>3</v>
      </c>
      <c r="F249" s="85">
        <v>900</v>
      </c>
      <c r="G249" s="85"/>
      <c r="H249" s="15" t="s">
        <v>66</v>
      </c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9">
        <f t="shared" si="54"/>
        <v>0</v>
      </c>
      <c r="T249" s="7" t="s">
        <v>493</v>
      </c>
      <c r="U249" s="66">
        <f>1.2*AF$186</f>
        <v>1.2</v>
      </c>
      <c r="V249" s="31">
        <f t="shared" si="55"/>
        <v>0</v>
      </c>
      <c r="W249" s="35">
        <f>Rate!D$3</f>
        <v>34.5</v>
      </c>
      <c r="X249" s="110">
        <f t="shared" si="50"/>
        <v>0</v>
      </c>
      <c r="Y249" s="110">
        <f t="shared" si="51"/>
        <v>0</v>
      </c>
      <c r="Z249" s="110">
        <f t="shared" si="52"/>
        <v>0</v>
      </c>
      <c r="AA249" s="110">
        <f t="shared" si="57"/>
        <v>0</v>
      </c>
      <c r="AB249" s="110">
        <f t="shared" si="59"/>
        <v>0</v>
      </c>
      <c r="AC249" s="371" t="s">
        <v>163</v>
      </c>
      <c r="AD249" s="371" t="s">
        <v>148</v>
      </c>
      <c r="AE249" s="371" t="s">
        <v>149</v>
      </c>
      <c r="AF249" s="371"/>
    </row>
    <row r="250" spans="1:32" ht="13.5" hidden="1" thickBot="1" x14ac:dyDescent="0.25">
      <c r="A250" s="14" t="str">
        <f t="shared" si="53"/>
        <v/>
      </c>
      <c r="B250" s="21" t="s">
        <v>474</v>
      </c>
      <c r="C250" s="15"/>
      <c r="D250" s="242"/>
      <c r="E250" s="280">
        <v>4</v>
      </c>
      <c r="F250" s="85">
        <v>900</v>
      </c>
      <c r="G250" s="85"/>
      <c r="H250" s="15" t="s">
        <v>66</v>
      </c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9">
        <f t="shared" si="54"/>
        <v>0</v>
      </c>
      <c r="T250" s="7" t="s">
        <v>493</v>
      </c>
      <c r="U250" s="66">
        <f>1.7*AF$186</f>
        <v>1.7</v>
      </c>
      <c r="V250" s="31">
        <f t="shared" si="55"/>
        <v>0</v>
      </c>
      <c r="W250" s="35">
        <f>Rate!D$3</f>
        <v>34.5</v>
      </c>
      <c r="X250" s="110">
        <f t="shared" si="50"/>
        <v>0</v>
      </c>
      <c r="Y250" s="110">
        <f t="shared" si="51"/>
        <v>0</v>
      </c>
      <c r="Z250" s="110">
        <f t="shared" si="52"/>
        <v>0</v>
      </c>
      <c r="AA250" s="110">
        <f t="shared" si="57"/>
        <v>0</v>
      </c>
      <c r="AB250" s="110">
        <f t="shared" si="59"/>
        <v>0</v>
      </c>
      <c r="AC250" s="371" t="s">
        <v>163</v>
      </c>
      <c r="AD250" s="371" t="s">
        <v>148</v>
      </c>
      <c r="AE250" s="371" t="s">
        <v>149</v>
      </c>
      <c r="AF250" s="371"/>
    </row>
    <row r="251" spans="1:32" ht="13.5" hidden="1" thickBot="1" x14ac:dyDescent="0.25">
      <c r="A251" s="14" t="str">
        <f t="shared" ref="A251:A286" si="60">+IF(AB251&lt;&gt;0,"X","")</f>
        <v/>
      </c>
      <c r="B251" s="21" t="s">
        <v>474</v>
      </c>
      <c r="C251" s="15"/>
      <c r="D251" s="242"/>
      <c r="E251" s="280">
        <v>6</v>
      </c>
      <c r="F251" s="85">
        <v>900</v>
      </c>
      <c r="G251" s="85"/>
      <c r="H251" s="15" t="s">
        <v>66</v>
      </c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9">
        <f t="shared" si="54"/>
        <v>0</v>
      </c>
      <c r="T251" s="7" t="s">
        <v>493</v>
      </c>
      <c r="U251" s="66">
        <f>2.1*AF$186</f>
        <v>2.1</v>
      </c>
      <c r="V251" s="31">
        <f t="shared" ref="V251:V282" si="61">+S251*U251</f>
        <v>0</v>
      </c>
      <c r="W251" s="35">
        <f>Rate!D$3</f>
        <v>34.5</v>
      </c>
      <c r="X251" s="110">
        <f t="shared" si="50"/>
        <v>0</v>
      </c>
      <c r="Y251" s="110">
        <f t="shared" si="51"/>
        <v>0</v>
      </c>
      <c r="Z251" s="110">
        <f t="shared" si="52"/>
        <v>0</v>
      </c>
      <c r="AA251" s="110">
        <f t="shared" si="57"/>
        <v>0</v>
      </c>
      <c r="AB251" s="110">
        <f t="shared" si="59"/>
        <v>0</v>
      </c>
      <c r="AC251" s="371" t="s">
        <v>163</v>
      </c>
      <c r="AD251" s="371" t="s">
        <v>148</v>
      </c>
      <c r="AE251" s="371" t="s">
        <v>149</v>
      </c>
      <c r="AF251" s="371"/>
    </row>
    <row r="252" spans="1:32" ht="13.5" hidden="1" thickBot="1" x14ac:dyDescent="0.25">
      <c r="A252" s="14" t="str">
        <f t="shared" si="60"/>
        <v/>
      </c>
      <c r="B252" s="21" t="s">
        <v>474</v>
      </c>
      <c r="C252" s="15"/>
      <c r="D252" s="242"/>
      <c r="E252" s="280">
        <v>8</v>
      </c>
      <c r="F252" s="85">
        <v>900</v>
      </c>
      <c r="G252" s="85"/>
      <c r="H252" s="15" t="s">
        <v>66</v>
      </c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9">
        <f t="shared" ref="S252:S259" si="62">SUM(I252:R252)</f>
        <v>0</v>
      </c>
      <c r="T252" s="7" t="s">
        <v>493</v>
      </c>
      <c r="U252" s="66">
        <f>3*AF$186</f>
        <v>3</v>
      </c>
      <c r="V252" s="31">
        <f t="shared" si="61"/>
        <v>0</v>
      </c>
      <c r="W252" s="35">
        <f>Rate!D$3</f>
        <v>34.5</v>
      </c>
      <c r="X252" s="110">
        <f t="shared" si="50"/>
        <v>0</v>
      </c>
      <c r="Y252" s="110">
        <f t="shared" si="51"/>
        <v>0</v>
      </c>
      <c r="Z252" s="110">
        <f t="shared" si="52"/>
        <v>0</v>
      </c>
      <c r="AA252" s="110">
        <f t="shared" si="57"/>
        <v>0</v>
      </c>
      <c r="AB252" s="110">
        <f t="shared" si="59"/>
        <v>0</v>
      </c>
      <c r="AC252" s="371" t="s">
        <v>163</v>
      </c>
      <c r="AD252" s="371" t="s">
        <v>148</v>
      </c>
      <c r="AE252" s="371" t="s">
        <v>149</v>
      </c>
      <c r="AF252" s="371"/>
    </row>
    <row r="253" spans="1:32" ht="13.5" hidden="1" thickBot="1" x14ac:dyDescent="0.25">
      <c r="A253" s="14" t="str">
        <f t="shared" si="60"/>
        <v/>
      </c>
      <c r="B253" s="21" t="s">
        <v>474</v>
      </c>
      <c r="C253" s="15"/>
      <c r="D253" s="242"/>
      <c r="E253" s="280">
        <v>10</v>
      </c>
      <c r="F253" s="85">
        <v>900</v>
      </c>
      <c r="G253" s="85"/>
      <c r="H253" s="15" t="s">
        <v>66</v>
      </c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9">
        <f t="shared" si="62"/>
        <v>0</v>
      </c>
      <c r="T253" s="7" t="s">
        <v>493</v>
      </c>
      <c r="U253" s="66">
        <f>3.7*AF$186</f>
        <v>3.7</v>
      </c>
      <c r="V253" s="31">
        <f t="shared" si="61"/>
        <v>0</v>
      </c>
      <c r="W253" s="35">
        <f>Rate!D$3</f>
        <v>34.5</v>
      </c>
      <c r="X253" s="110">
        <f t="shared" si="50"/>
        <v>0</v>
      </c>
      <c r="Y253" s="110">
        <f t="shared" si="51"/>
        <v>0</v>
      </c>
      <c r="Z253" s="110">
        <f t="shared" si="52"/>
        <v>0</v>
      </c>
      <c r="AA253" s="110">
        <f t="shared" si="57"/>
        <v>0</v>
      </c>
      <c r="AB253" s="110">
        <f t="shared" si="59"/>
        <v>0</v>
      </c>
      <c r="AC253" s="371" t="s">
        <v>163</v>
      </c>
      <c r="AD253" s="371" t="s">
        <v>148</v>
      </c>
      <c r="AE253" s="371" t="s">
        <v>149</v>
      </c>
      <c r="AF253" s="371"/>
    </row>
    <row r="254" spans="1:32" ht="13.5" hidden="1" thickBot="1" x14ac:dyDescent="0.25">
      <c r="A254" s="14" t="str">
        <f t="shared" si="60"/>
        <v/>
      </c>
      <c r="B254" s="21" t="s">
        <v>474</v>
      </c>
      <c r="C254" s="15"/>
      <c r="D254" s="242"/>
      <c r="E254" s="280">
        <v>12</v>
      </c>
      <c r="F254" s="85">
        <v>900</v>
      </c>
      <c r="G254" s="85"/>
      <c r="H254" s="15" t="s">
        <v>66</v>
      </c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9">
        <f t="shared" si="62"/>
        <v>0</v>
      </c>
      <c r="T254" s="7" t="s">
        <v>493</v>
      </c>
      <c r="U254" s="66">
        <f>4.7*AF$186</f>
        <v>4.7</v>
      </c>
      <c r="V254" s="31">
        <f t="shared" si="61"/>
        <v>0</v>
      </c>
      <c r="W254" s="35">
        <f>Rate!D$3</f>
        <v>34.5</v>
      </c>
      <c r="X254" s="110">
        <f t="shared" si="50"/>
        <v>0</v>
      </c>
      <c r="Y254" s="110">
        <f t="shared" si="51"/>
        <v>0</v>
      </c>
      <c r="Z254" s="110">
        <f t="shared" si="52"/>
        <v>0</v>
      </c>
      <c r="AA254" s="110">
        <f t="shared" si="57"/>
        <v>0</v>
      </c>
      <c r="AB254" s="110">
        <f t="shared" si="59"/>
        <v>0</v>
      </c>
      <c r="AC254" s="371" t="s">
        <v>163</v>
      </c>
      <c r="AD254" s="371" t="s">
        <v>148</v>
      </c>
      <c r="AE254" s="371" t="s">
        <v>149</v>
      </c>
      <c r="AF254" s="371"/>
    </row>
    <row r="255" spans="1:32" ht="13.5" hidden="1" thickBot="1" x14ac:dyDescent="0.25">
      <c r="A255" s="14" t="str">
        <f t="shared" si="60"/>
        <v/>
      </c>
      <c r="B255" s="21" t="s">
        <v>474</v>
      </c>
      <c r="C255" s="15"/>
      <c r="D255" s="242"/>
      <c r="E255" s="280">
        <v>14</v>
      </c>
      <c r="F255" s="85">
        <v>900</v>
      </c>
      <c r="G255" s="85"/>
      <c r="H255" s="15" t="s">
        <v>66</v>
      </c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9">
        <f t="shared" si="62"/>
        <v>0</v>
      </c>
      <c r="T255" s="7" t="s">
        <v>493</v>
      </c>
      <c r="U255" s="66">
        <f>5.3*AF$186</f>
        <v>5.3</v>
      </c>
      <c r="V255" s="31">
        <f t="shared" si="61"/>
        <v>0</v>
      </c>
      <c r="W255" s="35">
        <f>Rate!D$3</f>
        <v>34.5</v>
      </c>
      <c r="X255" s="110">
        <f t="shared" ref="X255:X316" si="63">IF(H255="L",V255*W255,0)</f>
        <v>0</v>
      </c>
      <c r="Y255" s="110">
        <f t="shared" ref="Y255:Y316" si="64">IF(H255="M",S255*W255,0)</f>
        <v>0</v>
      </c>
      <c r="Z255" s="110">
        <f t="shared" ref="Z255:Z316" si="65">IF(H255="S",S255*W255,0)</f>
        <v>0</v>
      </c>
      <c r="AA255" s="110">
        <f t="shared" si="57"/>
        <v>0</v>
      </c>
      <c r="AB255" s="110">
        <f t="shared" si="59"/>
        <v>0</v>
      </c>
      <c r="AC255" s="371" t="s">
        <v>163</v>
      </c>
      <c r="AD255" s="371" t="s">
        <v>148</v>
      </c>
      <c r="AE255" s="371" t="s">
        <v>149</v>
      </c>
      <c r="AF255" s="371"/>
    </row>
    <row r="256" spans="1:32" ht="13.5" hidden="1" thickBot="1" x14ac:dyDescent="0.25">
      <c r="A256" s="14" t="str">
        <f t="shared" si="60"/>
        <v/>
      </c>
      <c r="B256" s="21" t="s">
        <v>474</v>
      </c>
      <c r="C256" s="15"/>
      <c r="D256" s="242"/>
      <c r="E256" s="280">
        <v>16</v>
      </c>
      <c r="F256" s="85">
        <v>900</v>
      </c>
      <c r="G256" s="85"/>
      <c r="H256" s="15" t="s">
        <v>66</v>
      </c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9">
        <f t="shared" si="62"/>
        <v>0</v>
      </c>
      <c r="T256" s="7" t="s">
        <v>493</v>
      </c>
      <c r="U256" s="66">
        <f>6*AF$186</f>
        <v>6</v>
      </c>
      <c r="V256" s="31">
        <f t="shared" si="61"/>
        <v>0</v>
      </c>
      <c r="W256" s="35">
        <f>Rate!D$3</f>
        <v>34.5</v>
      </c>
      <c r="X256" s="110">
        <f t="shared" si="63"/>
        <v>0</v>
      </c>
      <c r="Y256" s="110">
        <f t="shared" si="64"/>
        <v>0</v>
      </c>
      <c r="Z256" s="110">
        <f t="shared" si="65"/>
        <v>0</v>
      </c>
      <c r="AA256" s="110">
        <f t="shared" si="57"/>
        <v>0</v>
      </c>
      <c r="AB256" s="110">
        <f t="shared" si="59"/>
        <v>0</v>
      </c>
      <c r="AC256" s="371" t="s">
        <v>163</v>
      </c>
      <c r="AD256" s="371" t="s">
        <v>148</v>
      </c>
      <c r="AE256" s="371" t="s">
        <v>149</v>
      </c>
      <c r="AF256" s="371"/>
    </row>
    <row r="257" spans="1:32" ht="13.5" hidden="1" thickBot="1" x14ac:dyDescent="0.25">
      <c r="A257" s="14" t="str">
        <f t="shared" si="60"/>
        <v/>
      </c>
      <c r="B257" s="21" t="s">
        <v>474</v>
      </c>
      <c r="C257" s="15"/>
      <c r="D257" s="242"/>
      <c r="E257" s="280">
        <v>18</v>
      </c>
      <c r="F257" s="85">
        <v>900</v>
      </c>
      <c r="G257" s="85"/>
      <c r="H257" s="15" t="s">
        <v>66</v>
      </c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9">
        <f t="shared" si="62"/>
        <v>0</v>
      </c>
      <c r="T257" s="7" t="s">
        <v>493</v>
      </c>
      <c r="U257" s="66">
        <f>6.7*AF$186</f>
        <v>6.7</v>
      </c>
      <c r="V257" s="31">
        <f t="shared" si="61"/>
        <v>0</v>
      </c>
      <c r="W257" s="35">
        <f>Rate!D$3</f>
        <v>34.5</v>
      </c>
      <c r="X257" s="110">
        <f t="shared" si="63"/>
        <v>0</v>
      </c>
      <c r="Y257" s="110">
        <f t="shared" si="64"/>
        <v>0</v>
      </c>
      <c r="Z257" s="110">
        <f t="shared" si="65"/>
        <v>0</v>
      </c>
      <c r="AA257" s="110">
        <f t="shared" si="57"/>
        <v>0</v>
      </c>
      <c r="AB257" s="110">
        <f t="shared" si="59"/>
        <v>0</v>
      </c>
      <c r="AC257" s="371" t="s">
        <v>163</v>
      </c>
      <c r="AD257" s="371" t="s">
        <v>148</v>
      </c>
      <c r="AE257" s="371" t="s">
        <v>149</v>
      </c>
      <c r="AF257" s="371"/>
    </row>
    <row r="258" spans="1:32" ht="13.5" hidden="1" thickBot="1" x14ac:dyDescent="0.25">
      <c r="A258" s="14" t="str">
        <f t="shared" si="60"/>
        <v/>
      </c>
      <c r="B258" s="21" t="s">
        <v>474</v>
      </c>
      <c r="C258" s="15"/>
      <c r="D258" s="242"/>
      <c r="E258" s="280">
        <v>20</v>
      </c>
      <c r="F258" s="85">
        <v>900</v>
      </c>
      <c r="G258" s="85"/>
      <c r="H258" s="15" t="s">
        <v>66</v>
      </c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9">
        <f t="shared" si="62"/>
        <v>0</v>
      </c>
      <c r="T258" s="7" t="s">
        <v>493</v>
      </c>
      <c r="U258" s="66">
        <f>7.6*AF$186</f>
        <v>7.6</v>
      </c>
      <c r="V258" s="31">
        <f t="shared" si="61"/>
        <v>0</v>
      </c>
      <c r="W258" s="35">
        <f>Rate!D$3</f>
        <v>34.5</v>
      </c>
      <c r="X258" s="110">
        <f t="shared" si="63"/>
        <v>0</v>
      </c>
      <c r="Y258" s="110">
        <f t="shared" si="64"/>
        <v>0</v>
      </c>
      <c r="Z258" s="110">
        <f t="shared" si="65"/>
        <v>0</v>
      </c>
      <c r="AA258" s="110">
        <f t="shared" si="57"/>
        <v>0</v>
      </c>
      <c r="AB258" s="110">
        <f t="shared" si="59"/>
        <v>0</v>
      </c>
      <c r="AC258" s="371" t="s">
        <v>163</v>
      </c>
      <c r="AD258" s="371" t="s">
        <v>148</v>
      </c>
      <c r="AE258" s="371" t="s">
        <v>149</v>
      </c>
      <c r="AF258" s="371"/>
    </row>
    <row r="259" spans="1:32" ht="13.5" hidden="1" thickBot="1" x14ac:dyDescent="0.25">
      <c r="A259" s="14" t="str">
        <f t="shared" si="60"/>
        <v/>
      </c>
      <c r="B259" s="21" t="s">
        <v>474</v>
      </c>
      <c r="C259" s="15"/>
      <c r="D259" s="242"/>
      <c r="E259" s="280">
        <v>24</v>
      </c>
      <c r="F259" s="85">
        <v>900</v>
      </c>
      <c r="G259" s="85"/>
      <c r="H259" s="15" t="s">
        <v>66</v>
      </c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9">
        <f t="shared" si="62"/>
        <v>0</v>
      </c>
      <c r="T259" s="7" t="s">
        <v>493</v>
      </c>
      <c r="U259" s="66">
        <f>9.1*AF$186</f>
        <v>9.1</v>
      </c>
      <c r="V259" s="31">
        <f t="shared" si="61"/>
        <v>0</v>
      </c>
      <c r="W259" s="35">
        <f>Rate!D$3</f>
        <v>34.5</v>
      </c>
      <c r="X259" s="110">
        <f t="shared" si="63"/>
        <v>0</v>
      </c>
      <c r="Y259" s="110">
        <f t="shared" si="64"/>
        <v>0</v>
      </c>
      <c r="Z259" s="110">
        <f t="shared" si="65"/>
        <v>0</v>
      </c>
      <c r="AA259" s="110">
        <f t="shared" si="57"/>
        <v>0</v>
      </c>
      <c r="AB259" s="110">
        <f>SUM(X259:AA259)</f>
        <v>0</v>
      </c>
      <c r="AC259" s="371" t="s">
        <v>163</v>
      </c>
      <c r="AD259" s="371" t="s">
        <v>148</v>
      </c>
      <c r="AE259" s="371" t="s">
        <v>149</v>
      </c>
      <c r="AF259" s="371"/>
    </row>
    <row r="260" spans="1:32" ht="13.5" hidden="1" thickBot="1" x14ac:dyDescent="0.25">
      <c r="A260" s="14" t="str">
        <f t="shared" si="60"/>
        <v/>
      </c>
      <c r="B260" s="21" t="s">
        <v>474</v>
      </c>
      <c r="C260" s="15"/>
      <c r="D260" s="242"/>
      <c r="E260" s="280">
        <v>0.5</v>
      </c>
      <c r="F260" s="85">
        <v>1500</v>
      </c>
      <c r="G260" s="85"/>
      <c r="H260" s="15" t="s">
        <v>66</v>
      </c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9">
        <f t="shared" ref="S260:S276" si="66">SUM(I260:R260)</f>
        <v>0</v>
      </c>
      <c r="T260" s="7" t="s">
        <v>493</v>
      </c>
      <c r="U260" s="66">
        <f>1.2*AF$186</f>
        <v>1.2</v>
      </c>
      <c r="V260" s="31">
        <f t="shared" si="61"/>
        <v>0</v>
      </c>
      <c r="W260" s="35">
        <f>Rate!D$3</f>
        <v>34.5</v>
      </c>
      <c r="X260" s="110">
        <f t="shared" si="63"/>
        <v>0</v>
      </c>
      <c r="Y260" s="110">
        <f t="shared" si="64"/>
        <v>0</v>
      </c>
      <c r="Z260" s="110">
        <f t="shared" si="65"/>
        <v>0</v>
      </c>
      <c r="AA260" s="110">
        <f t="shared" si="57"/>
        <v>0</v>
      </c>
      <c r="AB260" s="110">
        <f t="shared" ref="AB260:AB276" si="67">SUM(X260:AA260)</f>
        <v>0</v>
      </c>
      <c r="AC260" s="371" t="s">
        <v>163</v>
      </c>
      <c r="AD260" s="371" t="s">
        <v>148</v>
      </c>
      <c r="AE260" s="371" t="s">
        <v>149</v>
      </c>
      <c r="AF260" s="371"/>
    </row>
    <row r="261" spans="1:32" ht="13.5" hidden="1" thickBot="1" x14ac:dyDescent="0.25">
      <c r="A261" s="14" t="str">
        <f t="shared" si="60"/>
        <v/>
      </c>
      <c r="B261" s="21" t="s">
        <v>474</v>
      </c>
      <c r="C261" s="15"/>
      <c r="D261" s="242"/>
      <c r="E261" s="280">
        <v>0.75</v>
      </c>
      <c r="F261" s="85">
        <v>1500</v>
      </c>
      <c r="G261" s="85"/>
      <c r="H261" s="15" t="s">
        <v>66</v>
      </c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9">
        <f t="shared" si="66"/>
        <v>0</v>
      </c>
      <c r="T261" s="7" t="s">
        <v>493</v>
      </c>
      <c r="U261" s="66">
        <f>1.2*AF$186</f>
        <v>1.2</v>
      </c>
      <c r="V261" s="31">
        <f t="shared" si="61"/>
        <v>0</v>
      </c>
      <c r="W261" s="35">
        <f>Rate!D$3</f>
        <v>34.5</v>
      </c>
      <c r="X261" s="110">
        <f t="shared" si="63"/>
        <v>0</v>
      </c>
      <c r="Y261" s="110">
        <f t="shared" si="64"/>
        <v>0</v>
      </c>
      <c r="Z261" s="110">
        <f t="shared" si="65"/>
        <v>0</v>
      </c>
      <c r="AA261" s="110">
        <f t="shared" si="57"/>
        <v>0</v>
      </c>
      <c r="AB261" s="110">
        <f t="shared" si="67"/>
        <v>0</v>
      </c>
      <c r="AC261" s="371" t="s">
        <v>163</v>
      </c>
      <c r="AD261" s="371" t="s">
        <v>148</v>
      </c>
      <c r="AE261" s="371" t="s">
        <v>149</v>
      </c>
      <c r="AF261" s="371"/>
    </row>
    <row r="262" spans="1:32" ht="13.5" hidden="1" thickBot="1" x14ac:dyDescent="0.25">
      <c r="A262" s="14" t="str">
        <f t="shared" si="60"/>
        <v/>
      </c>
      <c r="B262" s="21" t="s">
        <v>474</v>
      </c>
      <c r="C262" s="15"/>
      <c r="D262" s="242"/>
      <c r="E262" s="280">
        <v>1</v>
      </c>
      <c r="F262" s="85">
        <v>1500</v>
      </c>
      <c r="G262" s="85"/>
      <c r="H262" s="15" t="s">
        <v>66</v>
      </c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9">
        <f t="shared" si="66"/>
        <v>0</v>
      </c>
      <c r="T262" s="7" t="s">
        <v>493</v>
      </c>
      <c r="U262" s="66">
        <f>1.2*AF$186</f>
        <v>1.2</v>
      </c>
      <c r="V262" s="31">
        <f t="shared" si="61"/>
        <v>0</v>
      </c>
      <c r="W262" s="35">
        <f>Rate!D$3</f>
        <v>34.5</v>
      </c>
      <c r="X262" s="110">
        <f t="shared" si="63"/>
        <v>0</v>
      </c>
      <c r="Y262" s="110">
        <f t="shared" si="64"/>
        <v>0</v>
      </c>
      <c r="Z262" s="110">
        <f t="shared" si="65"/>
        <v>0</v>
      </c>
      <c r="AA262" s="110">
        <f t="shared" si="57"/>
        <v>0</v>
      </c>
      <c r="AB262" s="110">
        <f t="shared" si="67"/>
        <v>0</v>
      </c>
      <c r="AC262" s="371" t="s">
        <v>163</v>
      </c>
      <c r="AD262" s="371" t="s">
        <v>148</v>
      </c>
      <c r="AE262" s="371" t="s">
        <v>149</v>
      </c>
      <c r="AF262" s="371"/>
    </row>
    <row r="263" spans="1:32" ht="13.5" hidden="1" thickBot="1" x14ac:dyDescent="0.25">
      <c r="A263" s="14" t="str">
        <f t="shared" si="60"/>
        <v/>
      </c>
      <c r="B263" s="21" t="s">
        <v>474</v>
      </c>
      <c r="C263" s="15"/>
      <c r="D263" s="242"/>
      <c r="E263" s="280">
        <v>1.5</v>
      </c>
      <c r="F263" s="85">
        <v>1500</v>
      </c>
      <c r="G263" s="85"/>
      <c r="H263" s="15" t="s">
        <v>66</v>
      </c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9">
        <f t="shared" si="66"/>
        <v>0</v>
      </c>
      <c r="T263" s="7" t="s">
        <v>493</v>
      </c>
      <c r="U263" s="66">
        <f>1.2*AF$186</f>
        <v>1.2</v>
      </c>
      <c r="V263" s="31">
        <f t="shared" si="61"/>
        <v>0</v>
      </c>
      <c r="W263" s="35">
        <f>Rate!D$3</f>
        <v>34.5</v>
      </c>
      <c r="X263" s="110">
        <f t="shared" si="63"/>
        <v>0</v>
      </c>
      <c r="Y263" s="110">
        <f t="shared" si="64"/>
        <v>0</v>
      </c>
      <c r="Z263" s="110">
        <f t="shared" si="65"/>
        <v>0</v>
      </c>
      <c r="AA263" s="110">
        <f t="shared" si="57"/>
        <v>0</v>
      </c>
      <c r="AB263" s="110">
        <f t="shared" si="67"/>
        <v>0</v>
      </c>
      <c r="AC263" s="371" t="s">
        <v>163</v>
      </c>
      <c r="AD263" s="371" t="s">
        <v>148</v>
      </c>
      <c r="AE263" s="371" t="s">
        <v>149</v>
      </c>
      <c r="AF263" s="371"/>
    </row>
    <row r="264" spans="1:32" ht="13.5" hidden="1" thickBot="1" x14ac:dyDescent="0.25">
      <c r="A264" s="14" t="str">
        <f t="shared" si="60"/>
        <v/>
      </c>
      <c r="B264" s="21" t="s">
        <v>474</v>
      </c>
      <c r="C264" s="15"/>
      <c r="D264" s="242"/>
      <c r="E264" s="280">
        <v>2</v>
      </c>
      <c r="F264" s="85">
        <v>1500</v>
      </c>
      <c r="G264" s="85"/>
      <c r="H264" s="15" t="s">
        <v>66</v>
      </c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9">
        <f t="shared" si="66"/>
        <v>0</v>
      </c>
      <c r="T264" s="7" t="s">
        <v>493</v>
      </c>
      <c r="U264" s="66">
        <f>1.2*AF$186</f>
        <v>1.2</v>
      </c>
      <c r="V264" s="31">
        <f t="shared" si="61"/>
        <v>0</v>
      </c>
      <c r="W264" s="35">
        <f>Rate!D$3</f>
        <v>34.5</v>
      </c>
      <c r="X264" s="110">
        <f t="shared" si="63"/>
        <v>0</v>
      </c>
      <c r="Y264" s="110">
        <f t="shared" si="64"/>
        <v>0</v>
      </c>
      <c r="Z264" s="110">
        <f t="shared" si="65"/>
        <v>0</v>
      </c>
      <c r="AA264" s="110">
        <f t="shared" si="57"/>
        <v>0</v>
      </c>
      <c r="AB264" s="110">
        <f t="shared" si="67"/>
        <v>0</v>
      </c>
      <c r="AC264" s="371" t="s">
        <v>163</v>
      </c>
      <c r="AD264" s="371" t="s">
        <v>148</v>
      </c>
      <c r="AE264" s="371" t="s">
        <v>149</v>
      </c>
      <c r="AF264" s="371"/>
    </row>
    <row r="265" spans="1:32" ht="13.5" hidden="1" thickBot="1" x14ac:dyDescent="0.25">
      <c r="A265" s="14" t="str">
        <f t="shared" si="60"/>
        <v/>
      </c>
      <c r="B265" s="21" t="s">
        <v>474</v>
      </c>
      <c r="C265" s="15"/>
      <c r="D265" s="242"/>
      <c r="E265" s="280">
        <v>3</v>
      </c>
      <c r="F265" s="85">
        <v>1500</v>
      </c>
      <c r="G265" s="85"/>
      <c r="H265" s="15" t="s">
        <v>66</v>
      </c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9">
        <f t="shared" si="66"/>
        <v>0</v>
      </c>
      <c r="T265" s="7" t="s">
        <v>493</v>
      </c>
      <c r="U265" s="66">
        <f>1.5*AF$186</f>
        <v>1.5</v>
      </c>
      <c r="V265" s="31">
        <f t="shared" si="61"/>
        <v>0</v>
      </c>
      <c r="W265" s="35">
        <f>Rate!D$3</f>
        <v>34.5</v>
      </c>
      <c r="X265" s="110">
        <f t="shared" si="63"/>
        <v>0</v>
      </c>
      <c r="Y265" s="110">
        <f t="shared" si="64"/>
        <v>0</v>
      </c>
      <c r="Z265" s="110">
        <f t="shared" si="65"/>
        <v>0</v>
      </c>
      <c r="AA265" s="110">
        <f t="shared" si="57"/>
        <v>0</v>
      </c>
      <c r="AB265" s="110">
        <f t="shared" si="67"/>
        <v>0</v>
      </c>
      <c r="AC265" s="371" t="s">
        <v>163</v>
      </c>
      <c r="AD265" s="371" t="s">
        <v>148</v>
      </c>
      <c r="AE265" s="371" t="s">
        <v>149</v>
      </c>
      <c r="AF265" s="371"/>
    </row>
    <row r="266" spans="1:32" ht="13.5" hidden="1" thickBot="1" x14ac:dyDescent="0.25">
      <c r="A266" s="14" t="str">
        <f t="shared" si="60"/>
        <v/>
      </c>
      <c r="B266" s="21" t="s">
        <v>474</v>
      </c>
      <c r="C266" s="15"/>
      <c r="D266" s="242"/>
      <c r="E266" s="280">
        <v>4</v>
      </c>
      <c r="F266" s="85">
        <v>1500</v>
      </c>
      <c r="G266" s="85"/>
      <c r="H266" s="15" t="s">
        <v>66</v>
      </c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9">
        <f t="shared" si="66"/>
        <v>0</v>
      </c>
      <c r="T266" s="7" t="s">
        <v>493</v>
      </c>
      <c r="U266" s="66">
        <f>2.1*AF$186</f>
        <v>2.1</v>
      </c>
      <c r="V266" s="31">
        <f t="shared" si="61"/>
        <v>0</v>
      </c>
      <c r="W266" s="35">
        <f>Rate!D$3</f>
        <v>34.5</v>
      </c>
      <c r="X266" s="110">
        <f t="shared" si="63"/>
        <v>0</v>
      </c>
      <c r="Y266" s="110">
        <f t="shared" si="64"/>
        <v>0</v>
      </c>
      <c r="Z266" s="110">
        <f t="shared" si="65"/>
        <v>0</v>
      </c>
      <c r="AA266" s="110">
        <f t="shared" si="57"/>
        <v>0</v>
      </c>
      <c r="AB266" s="110">
        <f t="shared" si="67"/>
        <v>0</v>
      </c>
      <c r="AC266" s="371" t="s">
        <v>163</v>
      </c>
      <c r="AD266" s="371" t="s">
        <v>148</v>
      </c>
      <c r="AE266" s="371" t="s">
        <v>149</v>
      </c>
      <c r="AF266" s="371"/>
    </row>
    <row r="267" spans="1:32" ht="13.5" hidden="1" thickBot="1" x14ac:dyDescent="0.25">
      <c r="A267" s="14" t="str">
        <f t="shared" si="60"/>
        <v/>
      </c>
      <c r="B267" s="21" t="s">
        <v>474</v>
      </c>
      <c r="C267" s="15"/>
      <c r="D267" s="242"/>
      <c r="E267" s="280">
        <v>6</v>
      </c>
      <c r="F267" s="85">
        <v>1500</v>
      </c>
      <c r="G267" s="85"/>
      <c r="H267" s="15" t="s">
        <v>66</v>
      </c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9">
        <f t="shared" si="66"/>
        <v>0</v>
      </c>
      <c r="T267" s="7" t="s">
        <v>493</v>
      </c>
      <c r="U267" s="66">
        <f>2.6*AF$186</f>
        <v>2.6</v>
      </c>
      <c r="V267" s="31">
        <f t="shared" si="61"/>
        <v>0</v>
      </c>
      <c r="W267" s="35">
        <f>Rate!D$3</f>
        <v>34.5</v>
      </c>
      <c r="X267" s="110">
        <f t="shared" si="63"/>
        <v>0</v>
      </c>
      <c r="Y267" s="110">
        <f t="shared" si="64"/>
        <v>0</v>
      </c>
      <c r="Z267" s="110">
        <f t="shared" si="65"/>
        <v>0</v>
      </c>
      <c r="AA267" s="110">
        <f t="shared" si="57"/>
        <v>0</v>
      </c>
      <c r="AB267" s="110">
        <f t="shared" si="67"/>
        <v>0</v>
      </c>
      <c r="AC267" s="371" t="s">
        <v>163</v>
      </c>
      <c r="AD267" s="371" t="s">
        <v>148</v>
      </c>
      <c r="AE267" s="371" t="s">
        <v>149</v>
      </c>
      <c r="AF267" s="371"/>
    </row>
    <row r="268" spans="1:32" ht="13.5" hidden="1" thickBot="1" x14ac:dyDescent="0.25">
      <c r="A268" s="14" t="str">
        <f t="shared" si="60"/>
        <v/>
      </c>
      <c r="B268" s="21" t="s">
        <v>474</v>
      </c>
      <c r="C268" s="15"/>
      <c r="D268" s="242"/>
      <c r="E268" s="280">
        <v>8</v>
      </c>
      <c r="F268" s="85">
        <v>1500</v>
      </c>
      <c r="G268" s="85"/>
      <c r="H268" s="15" t="s">
        <v>66</v>
      </c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9">
        <f t="shared" si="66"/>
        <v>0</v>
      </c>
      <c r="T268" s="7" t="s">
        <v>493</v>
      </c>
      <c r="U268" s="66">
        <f>3.7*AF$186</f>
        <v>3.7</v>
      </c>
      <c r="V268" s="31">
        <f t="shared" si="61"/>
        <v>0</v>
      </c>
      <c r="W268" s="35">
        <f>Rate!D$3</f>
        <v>34.5</v>
      </c>
      <c r="X268" s="110">
        <f t="shared" si="63"/>
        <v>0</v>
      </c>
      <c r="Y268" s="110">
        <f t="shared" si="64"/>
        <v>0</v>
      </c>
      <c r="Z268" s="110">
        <f t="shared" si="65"/>
        <v>0</v>
      </c>
      <c r="AA268" s="110">
        <f t="shared" si="57"/>
        <v>0</v>
      </c>
      <c r="AB268" s="110">
        <f t="shared" si="67"/>
        <v>0</v>
      </c>
      <c r="AC268" s="371" t="s">
        <v>163</v>
      </c>
      <c r="AD268" s="371" t="s">
        <v>148</v>
      </c>
      <c r="AE268" s="371" t="s">
        <v>149</v>
      </c>
      <c r="AF268" s="371"/>
    </row>
    <row r="269" spans="1:32" ht="13.5" hidden="1" thickBot="1" x14ac:dyDescent="0.25">
      <c r="A269" s="14" t="str">
        <f t="shared" si="60"/>
        <v/>
      </c>
      <c r="B269" s="21" t="s">
        <v>474</v>
      </c>
      <c r="C269" s="15"/>
      <c r="D269" s="242"/>
      <c r="E269" s="280">
        <v>10</v>
      </c>
      <c r="F269" s="85">
        <v>1500</v>
      </c>
      <c r="G269" s="85"/>
      <c r="H269" s="15" t="s">
        <v>66</v>
      </c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9">
        <f t="shared" si="66"/>
        <v>0</v>
      </c>
      <c r="T269" s="7" t="s">
        <v>493</v>
      </c>
      <c r="U269" s="66">
        <f>4.6*AF$186</f>
        <v>4.5999999999999996</v>
      </c>
      <c r="V269" s="31">
        <f t="shared" si="61"/>
        <v>0</v>
      </c>
      <c r="W269" s="35">
        <f>Rate!D$3</f>
        <v>34.5</v>
      </c>
      <c r="X269" s="110">
        <f t="shared" si="63"/>
        <v>0</v>
      </c>
      <c r="Y269" s="110">
        <f t="shared" si="64"/>
        <v>0</v>
      </c>
      <c r="Z269" s="110">
        <f t="shared" si="65"/>
        <v>0</v>
      </c>
      <c r="AA269" s="110">
        <f t="shared" si="57"/>
        <v>0</v>
      </c>
      <c r="AB269" s="110">
        <f t="shared" si="67"/>
        <v>0</v>
      </c>
      <c r="AC269" s="371" t="s">
        <v>163</v>
      </c>
      <c r="AD269" s="371" t="s">
        <v>148</v>
      </c>
      <c r="AE269" s="371" t="s">
        <v>149</v>
      </c>
      <c r="AF269" s="371"/>
    </row>
    <row r="270" spans="1:32" ht="13.5" hidden="1" thickBot="1" x14ac:dyDescent="0.25">
      <c r="A270" s="14" t="str">
        <f t="shared" si="60"/>
        <v/>
      </c>
      <c r="B270" s="21" t="s">
        <v>474</v>
      </c>
      <c r="C270" s="15"/>
      <c r="D270" s="242"/>
      <c r="E270" s="280">
        <v>12</v>
      </c>
      <c r="F270" s="85">
        <v>1500</v>
      </c>
      <c r="G270" s="85"/>
      <c r="H270" s="15" t="s">
        <v>66</v>
      </c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9">
        <f t="shared" si="66"/>
        <v>0</v>
      </c>
      <c r="T270" s="7" t="s">
        <v>493</v>
      </c>
      <c r="U270" s="66">
        <f>5.8*AF$186</f>
        <v>5.8</v>
      </c>
      <c r="V270" s="31">
        <f t="shared" si="61"/>
        <v>0</v>
      </c>
      <c r="W270" s="35">
        <f>Rate!D$3</f>
        <v>34.5</v>
      </c>
      <c r="X270" s="110">
        <f t="shared" si="63"/>
        <v>0</v>
      </c>
      <c r="Y270" s="110">
        <f t="shared" si="64"/>
        <v>0</v>
      </c>
      <c r="Z270" s="110">
        <f t="shared" si="65"/>
        <v>0</v>
      </c>
      <c r="AA270" s="110">
        <f t="shared" si="57"/>
        <v>0</v>
      </c>
      <c r="AB270" s="110">
        <f t="shared" si="67"/>
        <v>0</v>
      </c>
      <c r="AC270" s="371" t="s">
        <v>163</v>
      </c>
      <c r="AD270" s="371" t="s">
        <v>148</v>
      </c>
      <c r="AE270" s="371" t="s">
        <v>149</v>
      </c>
      <c r="AF270" s="371"/>
    </row>
    <row r="271" spans="1:32" ht="13.5" hidden="1" thickBot="1" x14ac:dyDescent="0.25">
      <c r="A271" s="14" t="str">
        <f t="shared" si="60"/>
        <v/>
      </c>
      <c r="B271" s="21" t="s">
        <v>474</v>
      </c>
      <c r="C271" s="15"/>
      <c r="D271" s="242"/>
      <c r="E271" s="280">
        <v>14</v>
      </c>
      <c r="F271" s="85">
        <v>1500</v>
      </c>
      <c r="G271" s="85"/>
      <c r="H271" s="15" t="s">
        <v>66</v>
      </c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9">
        <f t="shared" si="66"/>
        <v>0</v>
      </c>
      <c r="T271" s="7" t="s">
        <v>493</v>
      </c>
      <c r="U271" s="66">
        <f>6*AF$186</f>
        <v>6</v>
      </c>
      <c r="V271" s="31">
        <f t="shared" si="61"/>
        <v>0</v>
      </c>
      <c r="W271" s="35">
        <f>Rate!D$3</f>
        <v>34.5</v>
      </c>
      <c r="X271" s="110">
        <f t="shared" si="63"/>
        <v>0</v>
      </c>
      <c r="Y271" s="110">
        <f t="shared" si="64"/>
        <v>0</v>
      </c>
      <c r="Z271" s="110">
        <f t="shared" si="65"/>
        <v>0</v>
      </c>
      <c r="AA271" s="110">
        <f t="shared" si="57"/>
        <v>0</v>
      </c>
      <c r="AB271" s="110">
        <f t="shared" si="67"/>
        <v>0</v>
      </c>
      <c r="AC271" s="371" t="s">
        <v>163</v>
      </c>
      <c r="AD271" s="371" t="s">
        <v>148</v>
      </c>
      <c r="AE271" s="371" t="s">
        <v>149</v>
      </c>
      <c r="AF271" s="371"/>
    </row>
    <row r="272" spans="1:32" ht="13.5" hidden="1" thickBot="1" x14ac:dyDescent="0.25">
      <c r="A272" s="14" t="str">
        <f t="shared" si="60"/>
        <v/>
      </c>
      <c r="B272" s="21" t="s">
        <v>474</v>
      </c>
      <c r="C272" s="15"/>
      <c r="D272" s="242"/>
      <c r="E272" s="280">
        <v>16</v>
      </c>
      <c r="F272" s="85">
        <v>1500</v>
      </c>
      <c r="G272" s="85"/>
      <c r="H272" s="15" t="s">
        <v>66</v>
      </c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9">
        <f t="shared" si="66"/>
        <v>0</v>
      </c>
      <c r="T272" s="7" t="s">
        <v>493</v>
      </c>
      <c r="U272" s="66">
        <f>7.4*AF$186</f>
        <v>7.4</v>
      </c>
      <c r="V272" s="31">
        <f t="shared" si="61"/>
        <v>0</v>
      </c>
      <c r="W272" s="35">
        <f>Rate!D$3</f>
        <v>34.5</v>
      </c>
      <c r="X272" s="110">
        <f t="shared" si="63"/>
        <v>0</v>
      </c>
      <c r="Y272" s="110">
        <f t="shared" si="64"/>
        <v>0</v>
      </c>
      <c r="Z272" s="110">
        <f t="shared" si="65"/>
        <v>0</v>
      </c>
      <c r="AA272" s="110">
        <f t="shared" si="57"/>
        <v>0</v>
      </c>
      <c r="AB272" s="110">
        <f t="shared" si="67"/>
        <v>0</v>
      </c>
      <c r="AC272" s="371" t="s">
        <v>163</v>
      </c>
      <c r="AD272" s="371" t="s">
        <v>148</v>
      </c>
      <c r="AE272" s="371" t="s">
        <v>149</v>
      </c>
      <c r="AF272" s="371"/>
    </row>
    <row r="273" spans="1:32" ht="13.5" hidden="1" thickBot="1" x14ac:dyDescent="0.25">
      <c r="A273" s="14" t="str">
        <f t="shared" si="60"/>
        <v/>
      </c>
      <c r="B273" s="21" t="s">
        <v>474</v>
      </c>
      <c r="C273" s="15"/>
      <c r="D273" s="242"/>
      <c r="E273" s="280">
        <v>18</v>
      </c>
      <c r="F273" s="85">
        <v>1500</v>
      </c>
      <c r="G273" s="85"/>
      <c r="H273" s="15" t="s">
        <v>66</v>
      </c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9">
        <f t="shared" si="66"/>
        <v>0</v>
      </c>
      <c r="T273" s="7" t="s">
        <v>493</v>
      </c>
      <c r="U273" s="66">
        <f>8.2*AF$186</f>
        <v>8.1999999999999993</v>
      </c>
      <c r="V273" s="31">
        <f t="shared" si="61"/>
        <v>0</v>
      </c>
      <c r="W273" s="35">
        <f>Rate!D$3</f>
        <v>34.5</v>
      </c>
      <c r="X273" s="110">
        <f t="shared" si="63"/>
        <v>0</v>
      </c>
      <c r="Y273" s="110">
        <f t="shared" si="64"/>
        <v>0</v>
      </c>
      <c r="Z273" s="110">
        <f t="shared" si="65"/>
        <v>0</v>
      </c>
      <c r="AA273" s="110">
        <f t="shared" si="57"/>
        <v>0</v>
      </c>
      <c r="AB273" s="110">
        <f t="shared" si="67"/>
        <v>0</v>
      </c>
      <c r="AC273" s="371" t="s">
        <v>163</v>
      </c>
      <c r="AD273" s="371" t="s">
        <v>148</v>
      </c>
      <c r="AE273" s="371" t="s">
        <v>149</v>
      </c>
      <c r="AF273" s="371"/>
    </row>
    <row r="274" spans="1:32" ht="13.5" hidden="1" thickBot="1" x14ac:dyDescent="0.25">
      <c r="A274" s="14" t="str">
        <f t="shared" si="60"/>
        <v/>
      </c>
      <c r="B274" s="21" t="s">
        <v>474</v>
      </c>
      <c r="C274" s="15"/>
      <c r="D274" s="242"/>
      <c r="E274" s="280">
        <v>20</v>
      </c>
      <c r="F274" s="85">
        <v>1500</v>
      </c>
      <c r="G274" s="85"/>
      <c r="H274" s="15" t="s">
        <v>66</v>
      </c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9">
        <f t="shared" si="66"/>
        <v>0</v>
      </c>
      <c r="T274" s="7" t="s">
        <v>493</v>
      </c>
      <c r="U274" s="66">
        <f>9.3*AF$186</f>
        <v>9.3000000000000007</v>
      </c>
      <c r="V274" s="31">
        <f t="shared" si="61"/>
        <v>0</v>
      </c>
      <c r="W274" s="35">
        <f>Rate!D$3</f>
        <v>34.5</v>
      </c>
      <c r="X274" s="110">
        <f t="shared" si="63"/>
        <v>0</v>
      </c>
      <c r="Y274" s="110">
        <f t="shared" si="64"/>
        <v>0</v>
      </c>
      <c r="Z274" s="110">
        <f t="shared" si="65"/>
        <v>0</v>
      </c>
      <c r="AA274" s="110">
        <f t="shared" si="57"/>
        <v>0</v>
      </c>
      <c r="AB274" s="110">
        <f t="shared" si="67"/>
        <v>0</v>
      </c>
      <c r="AC274" s="371" t="s">
        <v>163</v>
      </c>
      <c r="AD274" s="371" t="s">
        <v>148</v>
      </c>
      <c r="AE274" s="371" t="s">
        <v>149</v>
      </c>
      <c r="AF274" s="371"/>
    </row>
    <row r="275" spans="1:32" ht="13.5" hidden="1" thickBot="1" x14ac:dyDescent="0.25">
      <c r="A275" s="14" t="str">
        <f t="shared" si="60"/>
        <v/>
      </c>
      <c r="B275" s="21" t="s">
        <v>474</v>
      </c>
      <c r="C275" s="15"/>
      <c r="D275" s="242"/>
      <c r="E275" s="280">
        <v>24</v>
      </c>
      <c r="F275" s="85">
        <v>1500</v>
      </c>
      <c r="G275" s="85"/>
      <c r="H275" s="15" t="s">
        <v>66</v>
      </c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9">
        <f t="shared" si="66"/>
        <v>0</v>
      </c>
      <c r="T275" s="7" t="s">
        <v>493</v>
      </c>
      <c r="U275" s="66">
        <f>11.2*AF$186</f>
        <v>11.2</v>
      </c>
      <c r="V275" s="31">
        <f t="shared" si="61"/>
        <v>0</v>
      </c>
      <c r="W275" s="35">
        <f>Rate!D$3</f>
        <v>34.5</v>
      </c>
      <c r="X275" s="110">
        <f t="shared" si="63"/>
        <v>0</v>
      </c>
      <c r="Y275" s="110">
        <f t="shared" si="64"/>
        <v>0</v>
      </c>
      <c r="Z275" s="110">
        <f t="shared" si="65"/>
        <v>0</v>
      </c>
      <c r="AA275" s="110">
        <f t="shared" si="57"/>
        <v>0</v>
      </c>
      <c r="AB275" s="110">
        <f t="shared" si="67"/>
        <v>0</v>
      </c>
      <c r="AC275" s="371" t="s">
        <v>163</v>
      </c>
      <c r="AD275" s="371" t="s">
        <v>148</v>
      </c>
      <c r="AE275" s="371" t="s">
        <v>149</v>
      </c>
      <c r="AF275" s="371"/>
    </row>
    <row r="276" spans="1:32" ht="13.5" hidden="1" thickBot="1" x14ac:dyDescent="0.25">
      <c r="A276" s="14" t="str">
        <f t="shared" si="60"/>
        <v/>
      </c>
      <c r="B276" s="21" t="s">
        <v>474</v>
      </c>
      <c r="C276" s="15"/>
      <c r="D276" s="242"/>
      <c r="E276" s="280">
        <v>0.5</v>
      </c>
      <c r="F276" s="85">
        <v>2500</v>
      </c>
      <c r="G276" s="85"/>
      <c r="H276" s="15" t="s">
        <v>66</v>
      </c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9">
        <f t="shared" si="66"/>
        <v>0</v>
      </c>
      <c r="T276" s="7" t="s">
        <v>493</v>
      </c>
      <c r="U276" s="66">
        <f>1.6*AF$186</f>
        <v>1.6</v>
      </c>
      <c r="V276" s="31">
        <f t="shared" si="61"/>
        <v>0</v>
      </c>
      <c r="W276" s="35">
        <f>Rate!D$3</f>
        <v>34.5</v>
      </c>
      <c r="X276" s="110">
        <f t="shared" si="63"/>
        <v>0</v>
      </c>
      <c r="Y276" s="110">
        <f t="shared" si="64"/>
        <v>0</v>
      </c>
      <c r="Z276" s="110">
        <f t="shared" si="65"/>
        <v>0</v>
      </c>
      <c r="AA276" s="110">
        <f t="shared" si="57"/>
        <v>0</v>
      </c>
      <c r="AB276" s="110">
        <f t="shared" si="67"/>
        <v>0</v>
      </c>
      <c r="AC276" s="371" t="s">
        <v>163</v>
      </c>
      <c r="AD276" s="371" t="s">
        <v>148</v>
      </c>
      <c r="AE276" s="371" t="s">
        <v>149</v>
      </c>
      <c r="AF276" s="371"/>
    </row>
    <row r="277" spans="1:32" ht="13.5" hidden="1" thickBot="1" x14ac:dyDescent="0.25">
      <c r="A277" s="14" t="str">
        <f t="shared" si="60"/>
        <v/>
      </c>
      <c r="B277" s="21" t="s">
        <v>474</v>
      </c>
      <c r="C277" s="15"/>
      <c r="D277" s="242"/>
      <c r="E277" s="280">
        <v>0.75</v>
      </c>
      <c r="F277" s="85">
        <v>2500</v>
      </c>
      <c r="G277" s="85"/>
      <c r="H277" s="15" t="s">
        <v>66</v>
      </c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9">
        <f t="shared" ref="S277:S286" si="68">SUM(I277:R277)</f>
        <v>0</v>
      </c>
      <c r="T277" s="7" t="s">
        <v>493</v>
      </c>
      <c r="U277" s="66">
        <f>1.6*AF$186</f>
        <v>1.6</v>
      </c>
      <c r="V277" s="31">
        <f t="shared" si="61"/>
        <v>0</v>
      </c>
      <c r="W277" s="35">
        <f>Rate!D$3</f>
        <v>34.5</v>
      </c>
      <c r="X277" s="110">
        <f t="shared" si="63"/>
        <v>0</v>
      </c>
      <c r="Y277" s="110">
        <f t="shared" si="64"/>
        <v>0</v>
      </c>
      <c r="Z277" s="110">
        <f t="shared" si="65"/>
        <v>0</v>
      </c>
      <c r="AA277" s="110">
        <f t="shared" si="57"/>
        <v>0</v>
      </c>
      <c r="AB277" s="110">
        <f t="shared" ref="AB277:AB286" si="69">SUM(X277:AA277)</f>
        <v>0</v>
      </c>
      <c r="AC277" s="371" t="s">
        <v>163</v>
      </c>
      <c r="AD277" s="371" t="s">
        <v>148</v>
      </c>
      <c r="AE277" s="371" t="s">
        <v>149</v>
      </c>
      <c r="AF277" s="371"/>
    </row>
    <row r="278" spans="1:32" ht="13.5" hidden="1" thickBot="1" x14ac:dyDescent="0.25">
      <c r="A278" s="14" t="str">
        <f t="shared" si="60"/>
        <v/>
      </c>
      <c r="B278" s="21" t="s">
        <v>474</v>
      </c>
      <c r="C278" s="15"/>
      <c r="D278" s="242"/>
      <c r="E278" s="280">
        <v>1</v>
      </c>
      <c r="F278" s="85">
        <v>2500</v>
      </c>
      <c r="G278" s="85"/>
      <c r="H278" s="15" t="s">
        <v>66</v>
      </c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9">
        <f t="shared" si="68"/>
        <v>0</v>
      </c>
      <c r="T278" s="7" t="s">
        <v>493</v>
      </c>
      <c r="U278" s="66">
        <f>1.6*AF$186</f>
        <v>1.6</v>
      </c>
      <c r="V278" s="31">
        <f t="shared" si="61"/>
        <v>0</v>
      </c>
      <c r="W278" s="35">
        <f>Rate!D$3</f>
        <v>34.5</v>
      </c>
      <c r="X278" s="110">
        <f t="shared" si="63"/>
        <v>0</v>
      </c>
      <c r="Y278" s="110">
        <f t="shared" si="64"/>
        <v>0</v>
      </c>
      <c r="Z278" s="110">
        <f t="shared" si="65"/>
        <v>0</v>
      </c>
      <c r="AA278" s="110">
        <f t="shared" si="57"/>
        <v>0</v>
      </c>
      <c r="AB278" s="110">
        <f t="shared" si="69"/>
        <v>0</v>
      </c>
      <c r="AC278" s="371" t="s">
        <v>163</v>
      </c>
      <c r="AD278" s="371" t="s">
        <v>148</v>
      </c>
      <c r="AE278" s="371" t="s">
        <v>149</v>
      </c>
      <c r="AF278" s="371"/>
    </row>
    <row r="279" spans="1:32" ht="13.5" hidden="1" thickBot="1" x14ac:dyDescent="0.25">
      <c r="A279" s="14" t="str">
        <f t="shared" si="60"/>
        <v/>
      </c>
      <c r="B279" s="21" t="s">
        <v>474</v>
      </c>
      <c r="C279" s="15"/>
      <c r="D279" s="242"/>
      <c r="E279" s="280">
        <v>1.5</v>
      </c>
      <c r="F279" s="85">
        <v>2500</v>
      </c>
      <c r="G279" s="85"/>
      <c r="H279" s="15" t="s">
        <v>66</v>
      </c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9">
        <f t="shared" si="68"/>
        <v>0</v>
      </c>
      <c r="T279" s="7" t="s">
        <v>493</v>
      </c>
      <c r="U279" s="66">
        <f>1.6*AF$186</f>
        <v>1.6</v>
      </c>
      <c r="V279" s="31">
        <f t="shared" si="61"/>
        <v>0</v>
      </c>
      <c r="W279" s="35">
        <f>Rate!D$3</f>
        <v>34.5</v>
      </c>
      <c r="X279" s="110">
        <f t="shared" si="63"/>
        <v>0</v>
      </c>
      <c r="Y279" s="110">
        <f t="shared" si="64"/>
        <v>0</v>
      </c>
      <c r="Z279" s="110">
        <f t="shared" si="65"/>
        <v>0</v>
      </c>
      <c r="AA279" s="110">
        <f t="shared" si="57"/>
        <v>0</v>
      </c>
      <c r="AB279" s="110">
        <f t="shared" si="69"/>
        <v>0</v>
      </c>
      <c r="AC279" s="371" t="s">
        <v>163</v>
      </c>
      <c r="AD279" s="371" t="s">
        <v>148</v>
      </c>
      <c r="AE279" s="371" t="s">
        <v>149</v>
      </c>
      <c r="AF279" s="371"/>
    </row>
    <row r="280" spans="1:32" ht="13.5" hidden="1" thickBot="1" x14ac:dyDescent="0.25">
      <c r="A280" s="14" t="str">
        <f t="shared" si="60"/>
        <v/>
      </c>
      <c r="B280" s="21" t="s">
        <v>474</v>
      </c>
      <c r="C280" s="15"/>
      <c r="D280" s="242"/>
      <c r="E280" s="280">
        <v>2</v>
      </c>
      <c r="F280" s="85">
        <v>2500</v>
      </c>
      <c r="G280" s="85"/>
      <c r="H280" s="15" t="s">
        <v>66</v>
      </c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9">
        <f t="shared" si="68"/>
        <v>0</v>
      </c>
      <c r="T280" s="7" t="s">
        <v>493</v>
      </c>
      <c r="U280" s="66">
        <f>1.6*AF$186</f>
        <v>1.6</v>
      </c>
      <c r="V280" s="31">
        <f t="shared" si="61"/>
        <v>0</v>
      </c>
      <c r="W280" s="35">
        <f>Rate!D$3</f>
        <v>34.5</v>
      </c>
      <c r="X280" s="110">
        <f t="shared" si="63"/>
        <v>0</v>
      </c>
      <c r="Y280" s="110">
        <f t="shared" si="64"/>
        <v>0</v>
      </c>
      <c r="Z280" s="110">
        <f t="shared" si="65"/>
        <v>0</v>
      </c>
      <c r="AA280" s="110">
        <f t="shared" si="57"/>
        <v>0</v>
      </c>
      <c r="AB280" s="110">
        <f t="shared" si="69"/>
        <v>0</v>
      </c>
      <c r="AC280" s="371" t="s">
        <v>163</v>
      </c>
      <c r="AD280" s="371" t="s">
        <v>148</v>
      </c>
      <c r="AE280" s="371" t="s">
        <v>149</v>
      </c>
      <c r="AF280" s="371"/>
    </row>
    <row r="281" spans="1:32" ht="13.5" hidden="1" thickBot="1" x14ac:dyDescent="0.25">
      <c r="A281" s="14" t="str">
        <f t="shared" si="60"/>
        <v/>
      </c>
      <c r="B281" s="21" t="s">
        <v>474</v>
      </c>
      <c r="C281" s="15"/>
      <c r="D281" s="242"/>
      <c r="E281" s="280">
        <v>3</v>
      </c>
      <c r="F281" s="85">
        <v>2500</v>
      </c>
      <c r="G281" s="85"/>
      <c r="H281" s="15" t="s">
        <v>66</v>
      </c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9">
        <f t="shared" si="68"/>
        <v>0</v>
      </c>
      <c r="T281" s="7" t="s">
        <v>493</v>
      </c>
      <c r="U281" s="66">
        <f>2*AF$186</f>
        <v>2</v>
      </c>
      <c r="V281" s="31">
        <f t="shared" si="61"/>
        <v>0</v>
      </c>
      <c r="W281" s="35">
        <f>Rate!D$3</f>
        <v>34.5</v>
      </c>
      <c r="X281" s="110">
        <f t="shared" si="63"/>
        <v>0</v>
      </c>
      <c r="Y281" s="110">
        <f t="shared" si="64"/>
        <v>0</v>
      </c>
      <c r="Z281" s="110">
        <f t="shared" si="65"/>
        <v>0</v>
      </c>
      <c r="AA281" s="110">
        <f t="shared" si="57"/>
        <v>0</v>
      </c>
      <c r="AB281" s="110">
        <f t="shared" si="69"/>
        <v>0</v>
      </c>
      <c r="AC281" s="371" t="s">
        <v>163</v>
      </c>
      <c r="AD281" s="371" t="s">
        <v>148</v>
      </c>
      <c r="AE281" s="371" t="s">
        <v>149</v>
      </c>
      <c r="AF281" s="371"/>
    </row>
    <row r="282" spans="1:32" ht="13.5" hidden="1" thickBot="1" x14ac:dyDescent="0.25">
      <c r="A282" s="14" t="str">
        <f t="shared" si="60"/>
        <v/>
      </c>
      <c r="B282" s="21" t="s">
        <v>474</v>
      </c>
      <c r="C282" s="15"/>
      <c r="D282" s="242"/>
      <c r="E282" s="280">
        <v>4</v>
      </c>
      <c r="F282" s="85">
        <v>2500</v>
      </c>
      <c r="G282" s="85"/>
      <c r="H282" s="15" t="s">
        <v>66</v>
      </c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9">
        <f t="shared" si="68"/>
        <v>0</v>
      </c>
      <c r="T282" s="7" t="s">
        <v>493</v>
      </c>
      <c r="U282" s="66">
        <f>2.8*AF$186</f>
        <v>2.8</v>
      </c>
      <c r="V282" s="31">
        <f t="shared" si="61"/>
        <v>0</v>
      </c>
      <c r="W282" s="35">
        <f>Rate!D$3</f>
        <v>34.5</v>
      </c>
      <c r="X282" s="110">
        <f t="shared" si="63"/>
        <v>0</v>
      </c>
      <c r="Y282" s="110">
        <f t="shared" si="64"/>
        <v>0</v>
      </c>
      <c r="Z282" s="110">
        <f t="shared" si="65"/>
        <v>0</v>
      </c>
      <c r="AA282" s="110">
        <f t="shared" si="57"/>
        <v>0</v>
      </c>
      <c r="AB282" s="110">
        <f t="shared" si="69"/>
        <v>0</v>
      </c>
      <c r="AC282" s="371" t="s">
        <v>163</v>
      </c>
      <c r="AD282" s="371" t="s">
        <v>148</v>
      </c>
      <c r="AE282" s="371" t="s">
        <v>149</v>
      </c>
      <c r="AF282" s="371"/>
    </row>
    <row r="283" spans="1:32" ht="13.5" hidden="1" thickBot="1" x14ac:dyDescent="0.25">
      <c r="A283" s="14" t="str">
        <f t="shared" si="60"/>
        <v/>
      </c>
      <c r="B283" s="21" t="s">
        <v>474</v>
      </c>
      <c r="C283" s="15"/>
      <c r="D283" s="242"/>
      <c r="E283" s="280">
        <v>6</v>
      </c>
      <c r="F283" s="85">
        <v>2500</v>
      </c>
      <c r="G283" s="85"/>
      <c r="H283" s="15" t="s">
        <v>66</v>
      </c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9">
        <f t="shared" si="68"/>
        <v>0</v>
      </c>
      <c r="T283" s="7" t="s">
        <v>493</v>
      </c>
      <c r="U283" s="66">
        <f>3.4*AF$186</f>
        <v>3.4</v>
      </c>
      <c r="V283" s="31">
        <f t="shared" ref="V283:V286" si="70">+S283*U283</f>
        <v>0</v>
      </c>
      <c r="W283" s="35">
        <f>Rate!D$3</f>
        <v>34.5</v>
      </c>
      <c r="X283" s="110">
        <f t="shared" si="63"/>
        <v>0</v>
      </c>
      <c r="Y283" s="110">
        <f t="shared" si="64"/>
        <v>0</v>
      </c>
      <c r="Z283" s="110">
        <f t="shared" si="65"/>
        <v>0</v>
      </c>
      <c r="AA283" s="110">
        <f t="shared" si="57"/>
        <v>0</v>
      </c>
      <c r="AB283" s="110">
        <f t="shared" si="69"/>
        <v>0</v>
      </c>
      <c r="AC283" s="371" t="s">
        <v>163</v>
      </c>
      <c r="AD283" s="371" t="s">
        <v>148</v>
      </c>
      <c r="AE283" s="371" t="s">
        <v>149</v>
      </c>
      <c r="AF283" s="371"/>
    </row>
    <row r="284" spans="1:32" ht="13.5" hidden="1" thickBot="1" x14ac:dyDescent="0.25">
      <c r="A284" s="14" t="str">
        <f t="shared" si="60"/>
        <v/>
      </c>
      <c r="B284" s="21" t="s">
        <v>474</v>
      </c>
      <c r="C284" s="15"/>
      <c r="D284" s="242"/>
      <c r="E284" s="280">
        <v>8</v>
      </c>
      <c r="F284" s="85">
        <v>2500</v>
      </c>
      <c r="G284" s="85"/>
      <c r="H284" s="15" t="s">
        <v>66</v>
      </c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9">
        <f t="shared" si="68"/>
        <v>0</v>
      </c>
      <c r="T284" s="7" t="s">
        <v>493</v>
      </c>
      <c r="U284" s="66">
        <f>4.9*AF$186</f>
        <v>4.9000000000000004</v>
      </c>
      <c r="V284" s="31">
        <f t="shared" si="70"/>
        <v>0</v>
      </c>
      <c r="W284" s="35">
        <f>Rate!D$3</f>
        <v>34.5</v>
      </c>
      <c r="X284" s="110">
        <f t="shared" si="63"/>
        <v>0</v>
      </c>
      <c r="Y284" s="110">
        <f t="shared" si="64"/>
        <v>0</v>
      </c>
      <c r="Z284" s="110">
        <f t="shared" si="65"/>
        <v>0</v>
      </c>
      <c r="AA284" s="110">
        <f t="shared" si="57"/>
        <v>0</v>
      </c>
      <c r="AB284" s="110">
        <f t="shared" si="69"/>
        <v>0</v>
      </c>
      <c r="AC284" s="371" t="s">
        <v>163</v>
      </c>
      <c r="AD284" s="371" t="s">
        <v>148</v>
      </c>
      <c r="AE284" s="371" t="s">
        <v>149</v>
      </c>
      <c r="AF284" s="371"/>
    </row>
    <row r="285" spans="1:32" ht="13.5" hidden="1" thickBot="1" x14ac:dyDescent="0.25">
      <c r="A285" s="14" t="str">
        <f t="shared" si="60"/>
        <v/>
      </c>
      <c r="B285" s="21" t="s">
        <v>474</v>
      </c>
      <c r="C285" s="15"/>
      <c r="D285" s="242"/>
      <c r="E285" s="280">
        <v>10</v>
      </c>
      <c r="F285" s="85">
        <v>2500</v>
      </c>
      <c r="G285" s="85"/>
      <c r="H285" s="15" t="s">
        <v>66</v>
      </c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9">
        <f t="shared" si="68"/>
        <v>0</v>
      </c>
      <c r="T285" s="7" t="s">
        <v>493</v>
      </c>
      <c r="U285" s="66">
        <f>6.1*AF$186</f>
        <v>6.1</v>
      </c>
      <c r="V285" s="31">
        <f t="shared" si="70"/>
        <v>0</v>
      </c>
      <c r="W285" s="35">
        <f>Rate!D$3</f>
        <v>34.5</v>
      </c>
      <c r="X285" s="110">
        <f t="shared" si="63"/>
        <v>0</v>
      </c>
      <c r="Y285" s="110">
        <f t="shared" si="64"/>
        <v>0</v>
      </c>
      <c r="Z285" s="110">
        <f t="shared" si="65"/>
        <v>0</v>
      </c>
      <c r="AA285" s="110">
        <f t="shared" si="57"/>
        <v>0</v>
      </c>
      <c r="AB285" s="110">
        <f t="shared" si="69"/>
        <v>0</v>
      </c>
      <c r="AC285" s="371" t="s">
        <v>163</v>
      </c>
      <c r="AD285" s="371" t="s">
        <v>148</v>
      </c>
      <c r="AE285" s="371" t="s">
        <v>149</v>
      </c>
      <c r="AF285" s="371"/>
    </row>
    <row r="286" spans="1:32" ht="13.5" hidden="1" thickBot="1" x14ac:dyDescent="0.25">
      <c r="A286" s="14" t="str">
        <f t="shared" si="60"/>
        <v/>
      </c>
      <c r="B286" s="21" t="s">
        <v>474</v>
      </c>
      <c r="C286" s="15"/>
      <c r="D286" s="242"/>
      <c r="E286" s="280">
        <v>12</v>
      </c>
      <c r="F286" s="85">
        <v>2500</v>
      </c>
      <c r="G286" s="85"/>
      <c r="H286" s="15" t="s">
        <v>66</v>
      </c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9">
        <f t="shared" si="68"/>
        <v>0</v>
      </c>
      <c r="T286" s="7" t="s">
        <v>493</v>
      </c>
      <c r="U286" s="66">
        <f>7.7*AF$186</f>
        <v>7.7</v>
      </c>
      <c r="V286" s="31">
        <f t="shared" si="70"/>
        <v>0</v>
      </c>
      <c r="W286" s="35">
        <f>Rate!D$3</f>
        <v>34.5</v>
      </c>
      <c r="X286" s="110">
        <f t="shared" si="63"/>
        <v>0</v>
      </c>
      <c r="Y286" s="110">
        <f t="shared" si="64"/>
        <v>0</v>
      </c>
      <c r="Z286" s="110">
        <f t="shared" si="65"/>
        <v>0</v>
      </c>
      <c r="AA286" s="110">
        <f t="shared" si="57"/>
        <v>0</v>
      </c>
      <c r="AB286" s="110">
        <f t="shared" si="69"/>
        <v>0</v>
      </c>
      <c r="AC286" s="371" t="s">
        <v>163</v>
      </c>
      <c r="AD286" s="371" t="s">
        <v>148</v>
      </c>
      <c r="AE286" s="371" t="s">
        <v>149</v>
      </c>
      <c r="AF286" s="371"/>
    </row>
    <row r="287" spans="1:32" ht="13.5" hidden="1" thickBot="1" x14ac:dyDescent="0.25">
      <c r="A287" s="14" t="str">
        <f>IF(SUM(S$187:S$286)&lt;&gt;0,"X","")</f>
        <v/>
      </c>
      <c r="B287" s="75" t="s">
        <v>673</v>
      </c>
      <c r="C287" s="320" t="s">
        <v>13</v>
      </c>
      <c r="D287" s="304"/>
      <c r="E287" s="192"/>
      <c r="F287" s="297">
        <f>SUM(S187:S286)</f>
        <v>0</v>
      </c>
      <c r="G287" s="297">
        <f>SUM(V187:V286)</f>
        <v>0</v>
      </c>
      <c r="H287" s="16"/>
      <c r="I287" s="9"/>
      <c r="J287" s="9"/>
      <c r="K287" s="9"/>
      <c r="L287" s="9"/>
      <c r="M287" s="9"/>
      <c r="N287" s="9"/>
      <c r="O287" s="9"/>
      <c r="P287" s="9"/>
      <c r="Q287" s="9"/>
      <c r="R287" s="374"/>
      <c r="S287" s="16"/>
      <c r="V287" s="94"/>
      <c r="W287" s="17"/>
      <c r="X287" s="111">
        <f t="shared" si="63"/>
        <v>0</v>
      </c>
      <c r="Y287" s="111">
        <f t="shared" si="64"/>
        <v>0</v>
      </c>
      <c r="Z287" s="111">
        <f t="shared" si="65"/>
        <v>0</v>
      </c>
      <c r="AA287" s="111">
        <f t="shared" si="57"/>
        <v>0</v>
      </c>
      <c r="AB287" s="112"/>
      <c r="AC287" s="375"/>
      <c r="AD287" s="375"/>
      <c r="AE287" s="375"/>
      <c r="AF287" s="375"/>
    </row>
    <row r="288" spans="1:32" ht="13.5" hidden="1" thickBot="1" x14ac:dyDescent="0.25">
      <c r="A288" s="14" t="str">
        <f>IF(SUM(S$289:S$396)&lt;&gt;0,"X","")</f>
        <v/>
      </c>
      <c r="B288" s="198" t="s">
        <v>475</v>
      </c>
      <c r="C288" s="200" t="s">
        <v>13</v>
      </c>
      <c r="D288" s="239"/>
      <c r="E288" s="199" t="s">
        <v>7</v>
      </c>
      <c r="F288" s="199" t="s">
        <v>14</v>
      </c>
      <c r="G288" s="199"/>
      <c r="H288" s="200"/>
      <c r="I288" s="200"/>
      <c r="J288" s="200"/>
      <c r="K288" s="200"/>
      <c r="L288" s="200"/>
      <c r="M288" s="200"/>
      <c r="N288" s="200"/>
      <c r="O288" s="200"/>
      <c r="P288" s="200"/>
      <c r="Q288" s="200"/>
      <c r="R288" s="200"/>
      <c r="S288" s="200"/>
      <c r="T288" s="200"/>
      <c r="U288" s="201"/>
      <c r="V288" s="202"/>
      <c r="W288" s="203"/>
      <c r="X288" s="204">
        <f t="shared" si="63"/>
        <v>0</v>
      </c>
      <c r="Y288" s="204">
        <f t="shared" si="64"/>
        <v>0</v>
      </c>
      <c r="Z288" s="204">
        <f t="shared" si="65"/>
        <v>0</v>
      </c>
      <c r="AA288" s="204">
        <f t="shared" si="57"/>
        <v>0</v>
      </c>
      <c r="AB288" s="205"/>
      <c r="AC288" s="369"/>
      <c r="AD288" s="369"/>
      <c r="AE288" s="369" t="s">
        <v>13</v>
      </c>
      <c r="AF288" s="370">
        <v>1</v>
      </c>
    </row>
    <row r="289" spans="1:32" ht="13.5" hidden="1" thickBot="1" x14ac:dyDescent="0.25">
      <c r="A289" s="14" t="str">
        <f t="shared" ref="A289:A320" si="71">+IF(AB289&lt;&gt;0,"X","")</f>
        <v/>
      </c>
      <c r="B289" s="21" t="s">
        <v>476</v>
      </c>
      <c r="C289" s="18"/>
      <c r="D289" s="244"/>
      <c r="E289" s="279">
        <v>0.5</v>
      </c>
      <c r="F289" s="252">
        <v>150</v>
      </c>
      <c r="G289" s="252"/>
      <c r="H289" s="15" t="s">
        <v>66</v>
      </c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9">
        <f t="shared" ref="S289:S320" si="72">SUM(I289:R289)</f>
        <v>0</v>
      </c>
      <c r="T289" s="19" t="s">
        <v>493</v>
      </c>
      <c r="U289" s="133">
        <f>0.2*AF$288</f>
        <v>0.2</v>
      </c>
      <c r="V289" s="93">
        <f t="shared" ref="V289:V320" si="73">+S289*U289</f>
        <v>0</v>
      </c>
      <c r="W289" s="123">
        <f>Rate!D$3</f>
        <v>34.5</v>
      </c>
      <c r="X289" s="109">
        <f t="shared" si="63"/>
        <v>0</v>
      </c>
      <c r="Y289" s="109">
        <f t="shared" si="64"/>
        <v>0</v>
      </c>
      <c r="Z289" s="109">
        <f t="shared" si="65"/>
        <v>0</v>
      </c>
      <c r="AA289" s="109">
        <f t="shared" si="57"/>
        <v>0</v>
      </c>
      <c r="AB289" s="109">
        <f t="shared" ref="AB289:AB320" si="74">SUM(X289:AA289)</f>
        <v>0</v>
      </c>
      <c r="AC289" s="371" t="s">
        <v>163</v>
      </c>
      <c r="AD289" s="371" t="s">
        <v>148</v>
      </c>
      <c r="AE289" s="371" t="s">
        <v>149</v>
      </c>
      <c r="AF289" s="371"/>
    </row>
    <row r="290" spans="1:32" ht="13.5" hidden="1" thickBot="1" x14ac:dyDescent="0.25">
      <c r="A290" s="14" t="str">
        <f t="shared" si="71"/>
        <v/>
      </c>
      <c r="B290" s="21" t="s">
        <v>476</v>
      </c>
      <c r="C290" s="15"/>
      <c r="D290" s="242"/>
      <c r="E290" s="280">
        <v>0.75</v>
      </c>
      <c r="F290" s="85">
        <v>150</v>
      </c>
      <c r="G290" s="85"/>
      <c r="H290" s="15" t="s">
        <v>66</v>
      </c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7">
        <f t="shared" si="72"/>
        <v>0</v>
      </c>
      <c r="T290" s="7" t="s">
        <v>493</v>
      </c>
      <c r="U290" s="66">
        <f>0.2*AF$288</f>
        <v>0.2</v>
      </c>
      <c r="V290" s="31">
        <f t="shared" si="73"/>
        <v>0</v>
      </c>
      <c r="W290" s="35">
        <f>Rate!D$3</f>
        <v>34.5</v>
      </c>
      <c r="X290" s="110">
        <f t="shared" si="63"/>
        <v>0</v>
      </c>
      <c r="Y290" s="110">
        <f t="shared" si="64"/>
        <v>0</v>
      </c>
      <c r="Z290" s="110">
        <f t="shared" si="65"/>
        <v>0</v>
      </c>
      <c r="AA290" s="110">
        <f t="shared" si="57"/>
        <v>0</v>
      </c>
      <c r="AB290" s="110">
        <f t="shared" si="74"/>
        <v>0</v>
      </c>
      <c r="AC290" s="371" t="s">
        <v>163</v>
      </c>
      <c r="AD290" s="371" t="s">
        <v>148</v>
      </c>
      <c r="AE290" s="371" t="s">
        <v>149</v>
      </c>
      <c r="AF290" s="371"/>
    </row>
    <row r="291" spans="1:32" ht="13.5" hidden="1" thickBot="1" x14ac:dyDescent="0.25">
      <c r="A291" s="14" t="str">
        <f t="shared" si="71"/>
        <v/>
      </c>
      <c r="B291" s="21" t="s">
        <v>476</v>
      </c>
      <c r="C291" s="15"/>
      <c r="D291" s="242"/>
      <c r="E291" s="280">
        <v>1</v>
      </c>
      <c r="F291" s="85">
        <v>150</v>
      </c>
      <c r="G291" s="85"/>
      <c r="H291" s="15" t="s">
        <v>66</v>
      </c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7">
        <f t="shared" si="72"/>
        <v>0</v>
      </c>
      <c r="T291" s="7" t="s">
        <v>493</v>
      </c>
      <c r="U291" s="66">
        <f>0.3*AF$288</f>
        <v>0.3</v>
      </c>
      <c r="V291" s="31">
        <f t="shared" si="73"/>
        <v>0</v>
      </c>
      <c r="W291" s="35">
        <f>Rate!D$3</f>
        <v>34.5</v>
      </c>
      <c r="X291" s="110">
        <f t="shared" si="63"/>
        <v>0</v>
      </c>
      <c r="Y291" s="110">
        <f t="shared" si="64"/>
        <v>0</v>
      </c>
      <c r="Z291" s="110">
        <f t="shared" si="65"/>
        <v>0</v>
      </c>
      <c r="AA291" s="110">
        <f t="shared" si="57"/>
        <v>0</v>
      </c>
      <c r="AB291" s="110">
        <f t="shared" si="74"/>
        <v>0</v>
      </c>
      <c r="AC291" s="371" t="s">
        <v>163</v>
      </c>
      <c r="AD291" s="371" t="s">
        <v>148</v>
      </c>
      <c r="AE291" s="371" t="s">
        <v>149</v>
      </c>
      <c r="AF291" s="371"/>
    </row>
    <row r="292" spans="1:32" ht="13.5" hidden="1" thickBot="1" x14ac:dyDescent="0.25">
      <c r="A292" s="14" t="str">
        <f t="shared" si="71"/>
        <v/>
      </c>
      <c r="B292" s="21" t="s">
        <v>476</v>
      </c>
      <c r="C292" s="15"/>
      <c r="D292" s="242"/>
      <c r="E292" s="280">
        <v>1.5</v>
      </c>
      <c r="F292" s="85">
        <v>150</v>
      </c>
      <c r="G292" s="85"/>
      <c r="H292" s="15" t="s">
        <v>66</v>
      </c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7">
        <f t="shared" si="72"/>
        <v>0</v>
      </c>
      <c r="T292" s="7" t="s">
        <v>493</v>
      </c>
      <c r="U292" s="66">
        <f>0.4*AF$288</f>
        <v>0.4</v>
      </c>
      <c r="V292" s="31">
        <f t="shared" si="73"/>
        <v>0</v>
      </c>
      <c r="W292" s="35">
        <f>Rate!D$3</f>
        <v>34.5</v>
      </c>
      <c r="X292" s="110">
        <f t="shared" si="63"/>
        <v>0</v>
      </c>
      <c r="Y292" s="110">
        <f t="shared" si="64"/>
        <v>0</v>
      </c>
      <c r="Z292" s="110">
        <f t="shared" si="65"/>
        <v>0</v>
      </c>
      <c r="AA292" s="110">
        <f t="shared" si="57"/>
        <v>0</v>
      </c>
      <c r="AB292" s="110">
        <f t="shared" si="74"/>
        <v>0</v>
      </c>
      <c r="AC292" s="371" t="s">
        <v>163</v>
      </c>
      <c r="AD292" s="371" t="s">
        <v>148</v>
      </c>
      <c r="AE292" s="371" t="s">
        <v>149</v>
      </c>
      <c r="AF292" s="371"/>
    </row>
    <row r="293" spans="1:32" ht="13.5" hidden="1" thickBot="1" x14ac:dyDescent="0.25">
      <c r="A293" s="14" t="str">
        <f t="shared" si="71"/>
        <v/>
      </c>
      <c r="B293" s="21" t="s">
        <v>476</v>
      </c>
      <c r="C293" s="15"/>
      <c r="D293" s="242"/>
      <c r="E293" s="280">
        <v>2</v>
      </c>
      <c r="F293" s="85">
        <v>150</v>
      </c>
      <c r="G293" s="85"/>
      <c r="H293" s="15" t="s">
        <v>66</v>
      </c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7">
        <f t="shared" si="72"/>
        <v>0</v>
      </c>
      <c r="T293" s="7" t="s">
        <v>493</v>
      </c>
      <c r="U293" s="66">
        <f>0.5*AF$288</f>
        <v>0.5</v>
      </c>
      <c r="V293" s="31">
        <f t="shared" si="73"/>
        <v>0</v>
      </c>
      <c r="W293" s="35">
        <f>Rate!D$3</f>
        <v>34.5</v>
      </c>
      <c r="X293" s="110">
        <f t="shared" si="63"/>
        <v>0</v>
      </c>
      <c r="Y293" s="110">
        <f t="shared" si="64"/>
        <v>0</v>
      </c>
      <c r="Z293" s="110">
        <f t="shared" si="65"/>
        <v>0</v>
      </c>
      <c r="AA293" s="110">
        <f t="shared" ref="AA293:AA356" si="75">IF(H293="E",G293*S293*W293,0)</f>
        <v>0</v>
      </c>
      <c r="AB293" s="110">
        <f t="shared" si="74"/>
        <v>0</v>
      </c>
      <c r="AC293" s="371" t="s">
        <v>163</v>
      </c>
      <c r="AD293" s="371" t="s">
        <v>148</v>
      </c>
      <c r="AE293" s="371" t="s">
        <v>149</v>
      </c>
      <c r="AF293" s="371"/>
    </row>
    <row r="294" spans="1:32" ht="13.5" hidden="1" thickBot="1" x14ac:dyDescent="0.25">
      <c r="A294" s="14" t="str">
        <f t="shared" si="71"/>
        <v/>
      </c>
      <c r="B294" s="21" t="s">
        <v>476</v>
      </c>
      <c r="C294" s="15"/>
      <c r="D294" s="242"/>
      <c r="E294" s="280">
        <v>3</v>
      </c>
      <c r="F294" s="85">
        <v>150</v>
      </c>
      <c r="G294" s="85"/>
      <c r="H294" s="15" t="s">
        <v>66</v>
      </c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7">
        <f t="shared" si="72"/>
        <v>0</v>
      </c>
      <c r="T294" s="7" t="s">
        <v>493</v>
      </c>
      <c r="U294" s="66">
        <f>1.2*AF$288</f>
        <v>1.2</v>
      </c>
      <c r="V294" s="31">
        <f t="shared" si="73"/>
        <v>0</v>
      </c>
      <c r="W294" s="35">
        <f>Rate!D$3</f>
        <v>34.5</v>
      </c>
      <c r="X294" s="110">
        <f t="shared" si="63"/>
        <v>0</v>
      </c>
      <c r="Y294" s="110">
        <f t="shared" si="64"/>
        <v>0</v>
      </c>
      <c r="Z294" s="110">
        <f t="shared" si="65"/>
        <v>0</v>
      </c>
      <c r="AA294" s="110">
        <f t="shared" si="75"/>
        <v>0</v>
      </c>
      <c r="AB294" s="110">
        <f t="shared" si="74"/>
        <v>0</v>
      </c>
      <c r="AC294" s="371" t="s">
        <v>163</v>
      </c>
      <c r="AD294" s="371" t="s">
        <v>148</v>
      </c>
      <c r="AE294" s="371" t="s">
        <v>149</v>
      </c>
      <c r="AF294" s="371"/>
    </row>
    <row r="295" spans="1:32" ht="13.5" hidden="1" thickBot="1" x14ac:dyDescent="0.25">
      <c r="A295" s="14" t="str">
        <f t="shared" si="71"/>
        <v/>
      </c>
      <c r="B295" s="21" t="s">
        <v>476</v>
      </c>
      <c r="C295" s="15"/>
      <c r="D295" s="242"/>
      <c r="E295" s="280">
        <v>4</v>
      </c>
      <c r="F295" s="85">
        <v>150</v>
      </c>
      <c r="G295" s="85"/>
      <c r="H295" s="15" t="s">
        <v>66</v>
      </c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7">
        <f t="shared" si="72"/>
        <v>0</v>
      </c>
      <c r="T295" s="7" t="s">
        <v>493</v>
      </c>
      <c r="U295" s="66">
        <f>1.7*AF$288</f>
        <v>1.7</v>
      </c>
      <c r="V295" s="31">
        <f t="shared" si="73"/>
        <v>0</v>
      </c>
      <c r="W295" s="35">
        <f>Rate!D$3</f>
        <v>34.5</v>
      </c>
      <c r="X295" s="110">
        <f t="shared" si="63"/>
        <v>0</v>
      </c>
      <c r="Y295" s="110">
        <f t="shared" si="64"/>
        <v>0</v>
      </c>
      <c r="Z295" s="110">
        <f t="shared" si="65"/>
        <v>0</v>
      </c>
      <c r="AA295" s="110">
        <f t="shared" si="75"/>
        <v>0</v>
      </c>
      <c r="AB295" s="110">
        <f t="shared" si="74"/>
        <v>0</v>
      </c>
      <c r="AC295" s="371" t="s">
        <v>163</v>
      </c>
      <c r="AD295" s="371" t="s">
        <v>148</v>
      </c>
      <c r="AE295" s="371" t="s">
        <v>149</v>
      </c>
      <c r="AF295" s="371"/>
    </row>
    <row r="296" spans="1:32" ht="13.5" hidden="1" thickBot="1" x14ac:dyDescent="0.25">
      <c r="A296" s="14" t="str">
        <f t="shared" si="71"/>
        <v/>
      </c>
      <c r="B296" s="21" t="s">
        <v>476</v>
      </c>
      <c r="C296" s="15"/>
      <c r="D296" s="242"/>
      <c r="E296" s="280">
        <v>6</v>
      </c>
      <c r="F296" s="85">
        <v>150</v>
      </c>
      <c r="G296" s="85"/>
      <c r="H296" s="15" t="s">
        <v>66</v>
      </c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7">
        <f t="shared" si="72"/>
        <v>0</v>
      </c>
      <c r="T296" s="7" t="s">
        <v>493</v>
      </c>
      <c r="U296" s="66">
        <f>2.2*AF$288</f>
        <v>2.2000000000000002</v>
      </c>
      <c r="V296" s="31">
        <f t="shared" si="73"/>
        <v>0</v>
      </c>
      <c r="W296" s="35">
        <f>Rate!D$3</f>
        <v>34.5</v>
      </c>
      <c r="X296" s="110">
        <f t="shared" si="63"/>
        <v>0</v>
      </c>
      <c r="Y296" s="110">
        <f t="shared" si="64"/>
        <v>0</v>
      </c>
      <c r="Z296" s="110">
        <f t="shared" si="65"/>
        <v>0</v>
      </c>
      <c r="AA296" s="110">
        <f t="shared" si="75"/>
        <v>0</v>
      </c>
      <c r="AB296" s="110">
        <f t="shared" si="74"/>
        <v>0</v>
      </c>
      <c r="AC296" s="371" t="s">
        <v>163</v>
      </c>
      <c r="AD296" s="371" t="s">
        <v>148</v>
      </c>
      <c r="AE296" s="371" t="s">
        <v>149</v>
      </c>
      <c r="AF296" s="371"/>
    </row>
    <row r="297" spans="1:32" ht="13.5" hidden="1" thickBot="1" x14ac:dyDescent="0.25">
      <c r="A297" s="14" t="str">
        <f t="shared" si="71"/>
        <v/>
      </c>
      <c r="B297" s="21" t="s">
        <v>476</v>
      </c>
      <c r="C297" s="15"/>
      <c r="D297" s="242"/>
      <c r="E297" s="280">
        <v>8</v>
      </c>
      <c r="F297" s="85">
        <v>150</v>
      </c>
      <c r="G297" s="85"/>
      <c r="H297" s="15" t="s">
        <v>66</v>
      </c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7">
        <f t="shared" si="72"/>
        <v>0</v>
      </c>
      <c r="T297" s="7" t="s">
        <v>493</v>
      </c>
      <c r="U297" s="66">
        <f>2.8*AF$288</f>
        <v>2.8</v>
      </c>
      <c r="V297" s="31">
        <f t="shared" si="73"/>
        <v>0</v>
      </c>
      <c r="W297" s="35">
        <f>Rate!D$3</f>
        <v>34.5</v>
      </c>
      <c r="X297" s="110">
        <f t="shared" si="63"/>
        <v>0</v>
      </c>
      <c r="Y297" s="110">
        <f t="shared" si="64"/>
        <v>0</v>
      </c>
      <c r="Z297" s="110">
        <f t="shared" si="65"/>
        <v>0</v>
      </c>
      <c r="AA297" s="110">
        <f t="shared" si="75"/>
        <v>0</v>
      </c>
      <c r="AB297" s="110">
        <f t="shared" si="74"/>
        <v>0</v>
      </c>
      <c r="AC297" s="371" t="s">
        <v>163</v>
      </c>
      <c r="AD297" s="371" t="s">
        <v>148</v>
      </c>
      <c r="AE297" s="371" t="s">
        <v>149</v>
      </c>
      <c r="AF297" s="371"/>
    </row>
    <row r="298" spans="1:32" ht="13.5" hidden="1" thickBot="1" x14ac:dyDescent="0.25">
      <c r="A298" s="14" t="str">
        <f t="shared" si="71"/>
        <v/>
      </c>
      <c r="B298" s="21" t="s">
        <v>476</v>
      </c>
      <c r="C298" s="15"/>
      <c r="D298" s="242"/>
      <c r="E298" s="280">
        <v>10</v>
      </c>
      <c r="F298" s="85">
        <v>150</v>
      </c>
      <c r="G298" s="85"/>
      <c r="H298" s="15" t="s">
        <v>66</v>
      </c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7">
        <f t="shared" si="72"/>
        <v>0</v>
      </c>
      <c r="T298" s="7" t="s">
        <v>493</v>
      </c>
      <c r="U298" s="66">
        <f>3.6*AF$288</f>
        <v>3.6</v>
      </c>
      <c r="V298" s="31">
        <f t="shared" si="73"/>
        <v>0</v>
      </c>
      <c r="W298" s="35">
        <f>Rate!D$3</f>
        <v>34.5</v>
      </c>
      <c r="X298" s="110">
        <f t="shared" si="63"/>
        <v>0</v>
      </c>
      <c r="Y298" s="110">
        <f t="shared" si="64"/>
        <v>0</v>
      </c>
      <c r="Z298" s="110">
        <f t="shared" si="65"/>
        <v>0</v>
      </c>
      <c r="AA298" s="110">
        <f t="shared" si="75"/>
        <v>0</v>
      </c>
      <c r="AB298" s="110">
        <f t="shared" si="74"/>
        <v>0</v>
      </c>
      <c r="AC298" s="371" t="s">
        <v>163</v>
      </c>
      <c r="AD298" s="371" t="s">
        <v>148</v>
      </c>
      <c r="AE298" s="371" t="s">
        <v>149</v>
      </c>
      <c r="AF298" s="371"/>
    </row>
    <row r="299" spans="1:32" ht="13.5" hidden="1" thickBot="1" x14ac:dyDescent="0.25">
      <c r="A299" s="14" t="str">
        <f t="shared" si="71"/>
        <v/>
      </c>
      <c r="B299" s="21" t="s">
        <v>476</v>
      </c>
      <c r="C299" s="15"/>
      <c r="D299" s="242"/>
      <c r="E299" s="280">
        <v>12</v>
      </c>
      <c r="F299" s="85">
        <v>150</v>
      </c>
      <c r="G299" s="85"/>
      <c r="H299" s="15" t="s">
        <v>66</v>
      </c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7">
        <f t="shared" si="72"/>
        <v>0</v>
      </c>
      <c r="T299" s="7" t="s">
        <v>493</v>
      </c>
      <c r="U299" s="66">
        <f>4.3*AF$288</f>
        <v>4.3</v>
      </c>
      <c r="V299" s="31">
        <f t="shared" si="73"/>
        <v>0</v>
      </c>
      <c r="W299" s="35">
        <f>Rate!D$3</f>
        <v>34.5</v>
      </c>
      <c r="X299" s="110">
        <f t="shared" si="63"/>
        <v>0</v>
      </c>
      <c r="Y299" s="110">
        <f t="shared" si="64"/>
        <v>0</v>
      </c>
      <c r="Z299" s="110">
        <f t="shared" si="65"/>
        <v>0</v>
      </c>
      <c r="AA299" s="110">
        <f t="shared" si="75"/>
        <v>0</v>
      </c>
      <c r="AB299" s="110">
        <f t="shared" si="74"/>
        <v>0</v>
      </c>
      <c r="AC299" s="371" t="s">
        <v>163</v>
      </c>
      <c r="AD299" s="371" t="s">
        <v>148</v>
      </c>
      <c r="AE299" s="371" t="s">
        <v>149</v>
      </c>
      <c r="AF299" s="371"/>
    </row>
    <row r="300" spans="1:32" ht="13.5" hidden="1" thickBot="1" x14ac:dyDescent="0.25">
      <c r="A300" s="14" t="str">
        <f t="shared" si="71"/>
        <v/>
      </c>
      <c r="B300" s="21" t="s">
        <v>476</v>
      </c>
      <c r="C300" s="15"/>
      <c r="D300" s="242"/>
      <c r="E300" s="280">
        <v>14</v>
      </c>
      <c r="F300" s="85">
        <v>150</v>
      </c>
      <c r="G300" s="85"/>
      <c r="H300" s="15" t="s">
        <v>66</v>
      </c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7">
        <f t="shared" si="72"/>
        <v>0</v>
      </c>
      <c r="T300" s="7" t="s">
        <v>493</v>
      </c>
      <c r="U300" s="66">
        <f>5.1*AF$288</f>
        <v>5.0999999999999996</v>
      </c>
      <c r="V300" s="31">
        <f t="shared" si="73"/>
        <v>0</v>
      </c>
      <c r="W300" s="35">
        <f>Rate!D$3</f>
        <v>34.5</v>
      </c>
      <c r="X300" s="110">
        <f t="shared" si="63"/>
        <v>0</v>
      </c>
      <c r="Y300" s="110">
        <f t="shared" si="64"/>
        <v>0</v>
      </c>
      <c r="Z300" s="110">
        <f t="shared" si="65"/>
        <v>0</v>
      </c>
      <c r="AA300" s="110">
        <f t="shared" si="75"/>
        <v>0</v>
      </c>
      <c r="AB300" s="110">
        <f t="shared" si="74"/>
        <v>0</v>
      </c>
      <c r="AC300" s="371" t="s">
        <v>163</v>
      </c>
      <c r="AD300" s="371" t="s">
        <v>148</v>
      </c>
      <c r="AE300" s="371" t="s">
        <v>149</v>
      </c>
      <c r="AF300" s="371"/>
    </row>
    <row r="301" spans="1:32" ht="13.5" hidden="1" thickBot="1" x14ac:dyDescent="0.25">
      <c r="A301" s="14" t="str">
        <f t="shared" si="71"/>
        <v/>
      </c>
      <c r="B301" s="21" t="s">
        <v>476</v>
      </c>
      <c r="C301" s="15"/>
      <c r="D301" s="242"/>
      <c r="E301" s="280">
        <v>16</v>
      </c>
      <c r="F301" s="85">
        <v>150</v>
      </c>
      <c r="G301" s="85"/>
      <c r="H301" s="15" t="s">
        <v>66</v>
      </c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7">
        <f t="shared" si="72"/>
        <v>0</v>
      </c>
      <c r="T301" s="7" t="s">
        <v>493</v>
      </c>
      <c r="U301" s="66">
        <f>5.9*AF$288</f>
        <v>5.9</v>
      </c>
      <c r="V301" s="31">
        <f t="shared" si="73"/>
        <v>0</v>
      </c>
      <c r="W301" s="35">
        <f>Rate!D$3</f>
        <v>34.5</v>
      </c>
      <c r="X301" s="110">
        <f t="shared" si="63"/>
        <v>0</v>
      </c>
      <c r="Y301" s="110">
        <f t="shared" si="64"/>
        <v>0</v>
      </c>
      <c r="Z301" s="110">
        <f t="shared" si="65"/>
        <v>0</v>
      </c>
      <c r="AA301" s="110">
        <f t="shared" si="75"/>
        <v>0</v>
      </c>
      <c r="AB301" s="110">
        <f t="shared" si="74"/>
        <v>0</v>
      </c>
      <c r="AC301" s="371" t="s">
        <v>163</v>
      </c>
      <c r="AD301" s="371" t="s">
        <v>148</v>
      </c>
      <c r="AE301" s="371" t="s">
        <v>149</v>
      </c>
      <c r="AF301" s="371"/>
    </row>
    <row r="302" spans="1:32" ht="13.5" hidden="1" thickBot="1" x14ac:dyDescent="0.25">
      <c r="A302" s="14" t="str">
        <f t="shared" si="71"/>
        <v/>
      </c>
      <c r="B302" s="21" t="s">
        <v>476</v>
      </c>
      <c r="C302" s="15"/>
      <c r="D302" s="242"/>
      <c r="E302" s="280">
        <v>18</v>
      </c>
      <c r="F302" s="85">
        <v>150</v>
      </c>
      <c r="G302" s="85"/>
      <c r="H302" s="15" t="s">
        <v>66</v>
      </c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7">
        <f t="shared" si="72"/>
        <v>0</v>
      </c>
      <c r="T302" s="7" t="s">
        <v>493</v>
      </c>
      <c r="U302" s="66">
        <f>6.7*AF$288</f>
        <v>6.7</v>
      </c>
      <c r="V302" s="31">
        <f t="shared" si="73"/>
        <v>0</v>
      </c>
      <c r="W302" s="35">
        <f>Rate!D$3</f>
        <v>34.5</v>
      </c>
      <c r="X302" s="110">
        <f t="shared" si="63"/>
        <v>0</v>
      </c>
      <c r="Y302" s="110">
        <f t="shared" si="64"/>
        <v>0</v>
      </c>
      <c r="Z302" s="110">
        <f t="shared" si="65"/>
        <v>0</v>
      </c>
      <c r="AA302" s="110">
        <f t="shared" si="75"/>
        <v>0</v>
      </c>
      <c r="AB302" s="110">
        <f t="shared" si="74"/>
        <v>0</v>
      </c>
      <c r="AC302" s="371" t="s">
        <v>163</v>
      </c>
      <c r="AD302" s="371" t="s">
        <v>148</v>
      </c>
      <c r="AE302" s="371" t="s">
        <v>149</v>
      </c>
      <c r="AF302" s="371"/>
    </row>
    <row r="303" spans="1:32" ht="13.5" hidden="1" thickBot="1" x14ac:dyDescent="0.25">
      <c r="A303" s="14" t="str">
        <f t="shared" si="71"/>
        <v/>
      </c>
      <c r="B303" s="21" t="s">
        <v>476</v>
      </c>
      <c r="C303" s="15"/>
      <c r="D303" s="242"/>
      <c r="E303" s="280">
        <v>20</v>
      </c>
      <c r="F303" s="85">
        <v>150</v>
      </c>
      <c r="G303" s="85"/>
      <c r="H303" s="15" t="s">
        <v>66</v>
      </c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7">
        <f t="shared" si="72"/>
        <v>0</v>
      </c>
      <c r="T303" s="7" t="s">
        <v>493</v>
      </c>
      <c r="U303" s="66">
        <f>7.7*AF$288</f>
        <v>7.7</v>
      </c>
      <c r="V303" s="31">
        <f t="shared" si="73"/>
        <v>0</v>
      </c>
      <c r="W303" s="35">
        <f>Rate!D$3</f>
        <v>34.5</v>
      </c>
      <c r="X303" s="110">
        <f t="shared" si="63"/>
        <v>0</v>
      </c>
      <c r="Y303" s="110">
        <f t="shared" si="64"/>
        <v>0</v>
      </c>
      <c r="Z303" s="110">
        <f t="shared" si="65"/>
        <v>0</v>
      </c>
      <c r="AA303" s="110">
        <f t="shared" si="75"/>
        <v>0</v>
      </c>
      <c r="AB303" s="110">
        <f t="shared" si="74"/>
        <v>0</v>
      </c>
      <c r="AC303" s="371" t="s">
        <v>163</v>
      </c>
      <c r="AD303" s="371" t="s">
        <v>148</v>
      </c>
      <c r="AE303" s="371" t="s">
        <v>149</v>
      </c>
      <c r="AF303" s="371"/>
    </row>
    <row r="304" spans="1:32" ht="13.5" hidden="1" thickBot="1" x14ac:dyDescent="0.25">
      <c r="A304" s="14" t="str">
        <f t="shared" si="71"/>
        <v/>
      </c>
      <c r="B304" s="21" t="s">
        <v>476</v>
      </c>
      <c r="C304" s="15"/>
      <c r="D304" s="242"/>
      <c r="E304" s="280">
        <v>24</v>
      </c>
      <c r="F304" s="85">
        <v>150</v>
      </c>
      <c r="G304" s="85"/>
      <c r="H304" s="15" t="s">
        <v>66</v>
      </c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7">
        <f t="shared" si="72"/>
        <v>0</v>
      </c>
      <c r="T304" s="7" t="s">
        <v>493</v>
      </c>
      <c r="U304" s="66">
        <f>8.5*AF$288</f>
        <v>8.5</v>
      </c>
      <c r="V304" s="31">
        <f t="shared" si="73"/>
        <v>0</v>
      </c>
      <c r="W304" s="35">
        <f>Rate!D$3</f>
        <v>34.5</v>
      </c>
      <c r="X304" s="110">
        <f t="shared" si="63"/>
        <v>0</v>
      </c>
      <c r="Y304" s="110">
        <f t="shared" si="64"/>
        <v>0</v>
      </c>
      <c r="Z304" s="110">
        <f t="shared" si="65"/>
        <v>0</v>
      </c>
      <c r="AA304" s="110">
        <f t="shared" si="75"/>
        <v>0</v>
      </c>
      <c r="AB304" s="110">
        <f t="shared" si="74"/>
        <v>0</v>
      </c>
      <c r="AC304" s="371" t="s">
        <v>163</v>
      </c>
      <c r="AD304" s="371" t="s">
        <v>148</v>
      </c>
      <c r="AE304" s="371" t="s">
        <v>149</v>
      </c>
      <c r="AF304" s="371"/>
    </row>
    <row r="305" spans="1:32" ht="13.5" hidden="1" thickBot="1" x14ac:dyDescent="0.25">
      <c r="A305" s="14" t="str">
        <f t="shared" si="71"/>
        <v/>
      </c>
      <c r="B305" s="21" t="s">
        <v>476</v>
      </c>
      <c r="C305" s="15"/>
      <c r="D305" s="242"/>
      <c r="E305" s="280">
        <v>30</v>
      </c>
      <c r="F305" s="85">
        <v>150</v>
      </c>
      <c r="G305" s="85"/>
      <c r="H305" s="15" t="s">
        <v>66</v>
      </c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7">
        <f t="shared" si="72"/>
        <v>0</v>
      </c>
      <c r="T305" s="7" t="s">
        <v>493</v>
      </c>
      <c r="U305" s="66">
        <f>9.7*AF$288</f>
        <v>9.6999999999999993</v>
      </c>
      <c r="V305" s="31">
        <f t="shared" si="73"/>
        <v>0</v>
      </c>
      <c r="W305" s="35">
        <f>Rate!D$3</f>
        <v>34.5</v>
      </c>
      <c r="X305" s="110">
        <f t="shared" si="63"/>
        <v>0</v>
      </c>
      <c r="Y305" s="110">
        <f t="shared" si="64"/>
        <v>0</v>
      </c>
      <c r="Z305" s="110">
        <f t="shared" si="65"/>
        <v>0</v>
      </c>
      <c r="AA305" s="110">
        <f t="shared" si="75"/>
        <v>0</v>
      </c>
      <c r="AB305" s="110">
        <f t="shared" si="74"/>
        <v>0</v>
      </c>
      <c r="AC305" s="371" t="s">
        <v>163</v>
      </c>
      <c r="AD305" s="371" t="s">
        <v>148</v>
      </c>
      <c r="AE305" s="371" t="s">
        <v>149</v>
      </c>
      <c r="AF305" s="371"/>
    </row>
    <row r="306" spans="1:32" ht="13.5" hidden="1" thickBot="1" x14ac:dyDescent="0.25">
      <c r="A306" s="14" t="str">
        <f t="shared" si="71"/>
        <v/>
      </c>
      <c r="B306" s="21" t="s">
        <v>476</v>
      </c>
      <c r="C306" s="15"/>
      <c r="D306" s="242"/>
      <c r="E306" s="280">
        <v>36</v>
      </c>
      <c r="F306" s="85">
        <v>150</v>
      </c>
      <c r="G306" s="85"/>
      <c r="H306" s="15" t="s">
        <v>66</v>
      </c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7">
        <f t="shared" si="72"/>
        <v>0</v>
      </c>
      <c r="T306" s="7" t="s">
        <v>493</v>
      </c>
      <c r="U306" s="66">
        <f>10.9*AF$288</f>
        <v>10.9</v>
      </c>
      <c r="V306" s="31">
        <f t="shared" si="73"/>
        <v>0</v>
      </c>
      <c r="W306" s="35">
        <f>Rate!D$3</f>
        <v>34.5</v>
      </c>
      <c r="X306" s="110">
        <f t="shared" si="63"/>
        <v>0</v>
      </c>
      <c r="Y306" s="110">
        <f t="shared" si="64"/>
        <v>0</v>
      </c>
      <c r="Z306" s="110">
        <f t="shared" si="65"/>
        <v>0</v>
      </c>
      <c r="AA306" s="110">
        <f t="shared" si="75"/>
        <v>0</v>
      </c>
      <c r="AB306" s="110">
        <f t="shared" si="74"/>
        <v>0</v>
      </c>
      <c r="AC306" s="371" t="s">
        <v>163</v>
      </c>
      <c r="AD306" s="371" t="s">
        <v>148</v>
      </c>
      <c r="AE306" s="371" t="s">
        <v>149</v>
      </c>
      <c r="AF306" s="371"/>
    </row>
    <row r="307" spans="1:32" ht="13.5" hidden="1" thickBot="1" x14ac:dyDescent="0.25">
      <c r="A307" s="14" t="str">
        <f t="shared" si="71"/>
        <v/>
      </c>
      <c r="B307" s="21" t="s">
        <v>476</v>
      </c>
      <c r="C307" s="15"/>
      <c r="D307" s="242"/>
      <c r="E307" s="280">
        <v>48</v>
      </c>
      <c r="F307" s="85">
        <v>150</v>
      </c>
      <c r="G307" s="85"/>
      <c r="H307" s="15" t="s">
        <v>66</v>
      </c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7">
        <f t="shared" si="72"/>
        <v>0</v>
      </c>
      <c r="T307" s="7" t="s">
        <v>493</v>
      </c>
      <c r="U307" s="66">
        <f>13*AF$288</f>
        <v>13</v>
      </c>
      <c r="V307" s="31">
        <f t="shared" si="73"/>
        <v>0</v>
      </c>
      <c r="W307" s="35">
        <f>Rate!D$3</f>
        <v>34.5</v>
      </c>
      <c r="X307" s="110">
        <f t="shared" si="63"/>
        <v>0</v>
      </c>
      <c r="Y307" s="110">
        <f t="shared" si="64"/>
        <v>0</v>
      </c>
      <c r="Z307" s="110">
        <f t="shared" si="65"/>
        <v>0</v>
      </c>
      <c r="AA307" s="110">
        <f t="shared" si="75"/>
        <v>0</v>
      </c>
      <c r="AB307" s="110">
        <f t="shared" si="74"/>
        <v>0</v>
      </c>
      <c r="AC307" s="371" t="s">
        <v>163</v>
      </c>
      <c r="AD307" s="371" t="s">
        <v>148</v>
      </c>
      <c r="AE307" s="371" t="s">
        <v>149</v>
      </c>
      <c r="AF307" s="371"/>
    </row>
    <row r="308" spans="1:32" ht="13.5" hidden="1" thickBot="1" x14ac:dyDescent="0.25">
      <c r="A308" s="14" t="str">
        <f t="shared" si="71"/>
        <v/>
      </c>
      <c r="B308" s="21" t="s">
        <v>476</v>
      </c>
      <c r="C308" s="15"/>
      <c r="D308" s="242"/>
      <c r="E308" s="280">
        <v>0.5</v>
      </c>
      <c r="F308" s="85">
        <v>300</v>
      </c>
      <c r="G308" s="85"/>
      <c r="H308" s="15" t="s">
        <v>66</v>
      </c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7">
        <f t="shared" si="72"/>
        <v>0</v>
      </c>
      <c r="T308" s="7" t="s">
        <v>493</v>
      </c>
      <c r="U308" s="66">
        <f>0.2*AF$288</f>
        <v>0.2</v>
      </c>
      <c r="V308" s="31">
        <f t="shared" si="73"/>
        <v>0</v>
      </c>
      <c r="W308" s="35">
        <f>Rate!D$3</f>
        <v>34.5</v>
      </c>
      <c r="X308" s="110">
        <f t="shared" si="63"/>
        <v>0</v>
      </c>
      <c r="Y308" s="110">
        <f t="shared" si="64"/>
        <v>0</v>
      </c>
      <c r="Z308" s="110">
        <f t="shared" si="65"/>
        <v>0</v>
      </c>
      <c r="AA308" s="110">
        <f t="shared" si="75"/>
        <v>0</v>
      </c>
      <c r="AB308" s="110">
        <f t="shared" si="74"/>
        <v>0</v>
      </c>
      <c r="AC308" s="371" t="s">
        <v>163</v>
      </c>
      <c r="AD308" s="371" t="s">
        <v>148</v>
      </c>
      <c r="AE308" s="371" t="s">
        <v>149</v>
      </c>
      <c r="AF308" s="371"/>
    </row>
    <row r="309" spans="1:32" ht="13.5" hidden="1" thickBot="1" x14ac:dyDescent="0.25">
      <c r="A309" s="14" t="str">
        <f t="shared" si="71"/>
        <v/>
      </c>
      <c r="B309" s="21" t="s">
        <v>476</v>
      </c>
      <c r="C309" s="15"/>
      <c r="D309" s="242"/>
      <c r="E309" s="280">
        <v>0.75</v>
      </c>
      <c r="F309" s="85">
        <v>300</v>
      </c>
      <c r="G309" s="85"/>
      <c r="H309" s="15" t="s">
        <v>66</v>
      </c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7">
        <f t="shared" si="72"/>
        <v>0</v>
      </c>
      <c r="T309" s="7" t="s">
        <v>493</v>
      </c>
      <c r="U309" s="66">
        <f>0.3*AF$288</f>
        <v>0.3</v>
      </c>
      <c r="V309" s="31">
        <f t="shared" si="73"/>
        <v>0</v>
      </c>
      <c r="W309" s="35">
        <f>Rate!D$3</f>
        <v>34.5</v>
      </c>
      <c r="X309" s="110">
        <f t="shared" si="63"/>
        <v>0</v>
      </c>
      <c r="Y309" s="110">
        <f t="shared" si="64"/>
        <v>0</v>
      </c>
      <c r="Z309" s="110">
        <f t="shared" si="65"/>
        <v>0</v>
      </c>
      <c r="AA309" s="110">
        <f t="shared" si="75"/>
        <v>0</v>
      </c>
      <c r="AB309" s="110">
        <f t="shared" si="74"/>
        <v>0</v>
      </c>
      <c r="AC309" s="371" t="s">
        <v>163</v>
      </c>
      <c r="AD309" s="371" t="s">
        <v>148</v>
      </c>
      <c r="AE309" s="371" t="s">
        <v>149</v>
      </c>
      <c r="AF309" s="371"/>
    </row>
    <row r="310" spans="1:32" ht="13.5" hidden="1" thickBot="1" x14ac:dyDescent="0.25">
      <c r="A310" s="14" t="str">
        <f t="shared" si="71"/>
        <v/>
      </c>
      <c r="B310" s="21" t="s">
        <v>476</v>
      </c>
      <c r="C310" s="15"/>
      <c r="D310" s="242"/>
      <c r="E310" s="280">
        <v>1</v>
      </c>
      <c r="F310" s="85">
        <v>300</v>
      </c>
      <c r="G310" s="85"/>
      <c r="H310" s="15" t="s">
        <v>66</v>
      </c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7">
        <f t="shared" si="72"/>
        <v>0</v>
      </c>
      <c r="T310" s="7" t="s">
        <v>493</v>
      </c>
      <c r="U310" s="66">
        <f>0.3*AF$288</f>
        <v>0.3</v>
      </c>
      <c r="V310" s="31">
        <f t="shared" si="73"/>
        <v>0</v>
      </c>
      <c r="W310" s="35">
        <f>Rate!D$3</f>
        <v>34.5</v>
      </c>
      <c r="X310" s="110">
        <f t="shared" si="63"/>
        <v>0</v>
      </c>
      <c r="Y310" s="110">
        <f t="shared" si="64"/>
        <v>0</v>
      </c>
      <c r="Z310" s="110">
        <f t="shared" si="65"/>
        <v>0</v>
      </c>
      <c r="AA310" s="110">
        <f t="shared" si="75"/>
        <v>0</v>
      </c>
      <c r="AB310" s="110">
        <f t="shared" si="74"/>
        <v>0</v>
      </c>
      <c r="AC310" s="371" t="s">
        <v>163</v>
      </c>
      <c r="AD310" s="371" t="s">
        <v>148</v>
      </c>
      <c r="AE310" s="371" t="s">
        <v>149</v>
      </c>
      <c r="AF310" s="371"/>
    </row>
    <row r="311" spans="1:32" ht="13.5" hidden="1" thickBot="1" x14ac:dyDescent="0.25">
      <c r="A311" s="14" t="str">
        <f t="shared" si="71"/>
        <v/>
      </c>
      <c r="B311" s="21" t="s">
        <v>476</v>
      </c>
      <c r="C311" s="15"/>
      <c r="D311" s="242"/>
      <c r="E311" s="280">
        <v>1.5</v>
      </c>
      <c r="F311" s="85">
        <v>300</v>
      </c>
      <c r="G311" s="85"/>
      <c r="H311" s="15" t="s">
        <v>66</v>
      </c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7">
        <f t="shared" si="72"/>
        <v>0</v>
      </c>
      <c r="T311" s="7" t="s">
        <v>493</v>
      </c>
      <c r="U311" s="66">
        <f>0.4*AF$288</f>
        <v>0.4</v>
      </c>
      <c r="V311" s="31">
        <f t="shared" si="73"/>
        <v>0</v>
      </c>
      <c r="W311" s="35">
        <f>Rate!D$3</f>
        <v>34.5</v>
      </c>
      <c r="X311" s="110">
        <f t="shared" si="63"/>
        <v>0</v>
      </c>
      <c r="Y311" s="110">
        <f t="shared" si="64"/>
        <v>0</v>
      </c>
      <c r="Z311" s="110">
        <f t="shared" si="65"/>
        <v>0</v>
      </c>
      <c r="AA311" s="110">
        <f t="shared" si="75"/>
        <v>0</v>
      </c>
      <c r="AB311" s="110">
        <f t="shared" si="74"/>
        <v>0</v>
      </c>
      <c r="AC311" s="371" t="s">
        <v>163</v>
      </c>
      <c r="AD311" s="371" t="s">
        <v>148</v>
      </c>
      <c r="AE311" s="371" t="s">
        <v>149</v>
      </c>
      <c r="AF311" s="371"/>
    </row>
    <row r="312" spans="1:32" ht="13.5" hidden="1" thickBot="1" x14ac:dyDescent="0.25">
      <c r="A312" s="14" t="str">
        <f t="shared" si="71"/>
        <v/>
      </c>
      <c r="B312" s="21" t="s">
        <v>476</v>
      </c>
      <c r="C312" s="15"/>
      <c r="D312" s="242"/>
      <c r="E312" s="280">
        <v>2</v>
      </c>
      <c r="F312" s="85">
        <v>300</v>
      </c>
      <c r="G312" s="85"/>
      <c r="H312" s="15" t="s">
        <v>66</v>
      </c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7">
        <f t="shared" si="72"/>
        <v>0</v>
      </c>
      <c r="T312" s="7" t="s">
        <v>493</v>
      </c>
      <c r="U312" s="66">
        <f>0.8*AF$288</f>
        <v>0.8</v>
      </c>
      <c r="V312" s="31">
        <f t="shared" si="73"/>
        <v>0</v>
      </c>
      <c r="W312" s="35">
        <f>Rate!D$3</f>
        <v>34.5</v>
      </c>
      <c r="X312" s="110">
        <f t="shared" si="63"/>
        <v>0</v>
      </c>
      <c r="Y312" s="110">
        <f t="shared" si="64"/>
        <v>0</v>
      </c>
      <c r="Z312" s="110">
        <f t="shared" si="65"/>
        <v>0</v>
      </c>
      <c r="AA312" s="110">
        <f t="shared" si="75"/>
        <v>0</v>
      </c>
      <c r="AB312" s="110">
        <f t="shared" si="74"/>
        <v>0</v>
      </c>
      <c r="AC312" s="371" t="s">
        <v>163</v>
      </c>
      <c r="AD312" s="371" t="s">
        <v>148</v>
      </c>
      <c r="AE312" s="371" t="s">
        <v>149</v>
      </c>
      <c r="AF312" s="371"/>
    </row>
    <row r="313" spans="1:32" ht="13.5" hidden="1" thickBot="1" x14ac:dyDescent="0.25">
      <c r="A313" s="14" t="str">
        <f t="shared" si="71"/>
        <v/>
      </c>
      <c r="B313" s="21" t="s">
        <v>476</v>
      </c>
      <c r="C313" s="15"/>
      <c r="D313" s="242"/>
      <c r="E313" s="280">
        <v>3</v>
      </c>
      <c r="F313" s="85">
        <v>300</v>
      </c>
      <c r="G313" s="85"/>
      <c r="H313" s="15" t="s">
        <v>66</v>
      </c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7">
        <f t="shared" si="72"/>
        <v>0</v>
      </c>
      <c r="T313" s="7" t="s">
        <v>493</v>
      </c>
      <c r="U313" s="66">
        <f>1.5*AF$288</f>
        <v>1.5</v>
      </c>
      <c r="V313" s="31">
        <f t="shared" si="73"/>
        <v>0</v>
      </c>
      <c r="W313" s="35">
        <f>Rate!D$3</f>
        <v>34.5</v>
      </c>
      <c r="X313" s="110">
        <f t="shared" si="63"/>
        <v>0</v>
      </c>
      <c r="Y313" s="110">
        <f t="shared" si="64"/>
        <v>0</v>
      </c>
      <c r="Z313" s="110">
        <f t="shared" si="65"/>
        <v>0</v>
      </c>
      <c r="AA313" s="110">
        <f t="shared" si="75"/>
        <v>0</v>
      </c>
      <c r="AB313" s="110">
        <f t="shared" si="74"/>
        <v>0</v>
      </c>
      <c r="AC313" s="371" t="s">
        <v>163</v>
      </c>
      <c r="AD313" s="371" t="s">
        <v>148</v>
      </c>
      <c r="AE313" s="371" t="s">
        <v>149</v>
      </c>
      <c r="AF313" s="371"/>
    </row>
    <row r="314" spans="1:32" ht="13.5" hidden="1" thickBot="1" x14ac:dyDescent="0.25">
      <c r="A314" s="14" t="str">
        <f t="shared" si="71"/>
        <v/>
      </c>
      <c r="B314" s="21" t="s">
        <v>476</v>
      </c>
      <c r="C314" s="15"/>
      <c r="D314" s="242"/>
      <c r="E314" s="280">
        <v>4</v>
      </c>
      <c r="F314" s="85">
        <v>300</v>
      </c>
      <c r="G314" s="85"/>
      <c r="H314" s="15" t="s">
        <v>66</v>
      </c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7">
        <f t="shared" si="72"/>
        <v>0</v>
      </c>
      <c r="T314" s="7" t="s">
        <v>493</v>
      </c>
      <c r="U314" s="66">
        <f>2*AF$288</f>
        <v>2</v>
      </c>
      <c r="V314" s="31">
        <f t="shared" si="73"/>
        <v>0</v>
      </c>
      <c r="W314" s="35">
        <f>Rate!D$3</f>
        <v>34.5</v>
      </c>
      <c r="X314" s="110">
        <f t="shared" si="63"/>
        <v>0</v>
      </c>
      <c r="Y314" s="110">
        <f t="shared" si="64"/>
        <v>0</v>
      </c>
      <c r="Z314" s="110">
        <f t="shared" si="65"/>
        <v>0</v>
      </c>
      <c r="AA314" s="110">
        <f t="shared" si="75"/>
        <v>0</v>
      </c>
      <c r="AB314" s="110">
        <f t="shared" si="74"/>
        <v>0</v>
      </c>
      <c r="AC314" s="371" t="s">
        <v>163</v>
      </c>
      <c r="AD314" s="371" t="s">
        <v>148</v>
      </c>
      <c r="AE314" s="371" t="s">
        <v>149</v>
      </c>
      <c r="AF314" s="371"/>
    </row>
    <row r="315" spans="1:32" ht="13.5" hidden="1" thickBot="1" x14ac:dyDescent="0.25">
      <c r="A315" s="14" t="str">
        <f t="shared" si="71"/>
        <v/>
      </c>
      <c r="B315" s="21" t="s">
        <v>476</v>
      </c>
      <c r="C315" s="15"/>
      <c r="D315" s="242"/>
      <c r="E315" s="280">
        <v>6</v>
      </c>
      <c r="F315" s="85">
        <v>300</v>
      </c>
      <c r="G315" s="85"/>
      <c r="H315" s="15" t="s">
        <v>66</v>
      </c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7">
        <f t="shared" si="72"/>
        <v>0</v>
      </c>
      <c r="T315" s="7" t="s">
        <v>493</v>
      </c>
      <c r="U315" s="66">
        <f>2.7*AF$288</f>
        <v>2.7</v>
      </c>
      <c r="V315" s="31">
        <f t="shared" si="73"/>
        <v>0</v>
      </c>
      <c r="W315" s="35">
        <f>Rate!D$3</f>
        <v>34.5</v>
      </c>
      <c r="X315" s="110">
        <f t="shared" si="63"/>
        <v>0</v>
      </c>
      <c r="Y315" s="110">
        <f t="shared" si="64"/>
        <v>0</v>
      </c>
      <c r="Z315" s="110">
        <f t="shared" si="65"/>
        <v>0</v>
      </c>
      <c r="AA315" s="110">
        <f t="shared" si="75"/>
        <v>0</v>
      </c>
      <c r="AB315" s="110">
        <f t="shared" si="74"/>
        <v>0</v>
      </c>
      <c r="AC315" s="371" t="s">
        <v>163</v>
      </c>
      <c r="AD315" s="371" t="s">
        <v>148</v>
      </c>
      <c r="AE315" s="371" t="s">
        <v>149</v>
      </c>
      <c r="AF315" s="371"/>
    </row>
    <row r="316" spans="1:32" ht="13.5" hidden="1" thickBot="1" x14ac:dyDescent="0.25">
      <c r="A316" s="14" t="str">
        <f t="shared" si="71"/>
        <v/>
      </c>
      <c r="B316" s="21" t="s">
        <v>476</v>
      </c>
      <c r="C316" s="15"/>
      <c r="D316" s="242"/>
      <c r="E316" s="280">
        <v>8</v>
      </c>
      <c r="F316" s="85">
        <v>300</v>
      </c>
      <c r="G316" s="85"/>
      <c r="H316" s="15" t="s">
        <v>66</v>
      </c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7">
        <f t="shared" si="72"/>
        <v>0</v>
      </c>
      <c r="T316" s="7" t="s">
        <v>493</v>
      </c>
      <c r="U316" s="66">
        <f>3.4*AF$288</f>
        <v>3.4</v>
      </c>
      <c r="V316" s="31">
        <f t="shared" si="73"/>
        <v>0</v>
      </c>
      <c r="W316" s="35">
        <f>Rate!D$3</f>
        <v>34.5</v>
      </c>
      <c r="X316" s="110">
        <f t="shared" si="63"/>
        <v>0</v>
      </c>
      <c r="Y316" s="110">
        <f t="shared" si="64"/>
        <v>0</v>
      </c>
      <c r="Z316" s="110">
        <f t="shared" si="65"/>
        <v>0</v>
      </c>
      <c r="AA316" s="110">
        <f t="shared" si="75"/>
        <v>0</v>
      </c>
      <c r="AB316" s="110">
        <f t="shared" si="74"/>
        <v>0</v>
      </c>
      <c r="AC316" s="371" t="s">
        <v>163</v>
      </c>
      <c r="AD316" s="371" t="s">
        <v>148</v>
      </c>
      <c r="AE316" s="371" t="s">
        <v>149</v>
      </c>
      <c r="AF316" s="371"/>
    </row>
    <row r="317" spans="1:32" ht="13.5" hidden="1" thickBot="1" x14ac:dyDescent="0.25">
      <c r="A317" s="14" t="str">
        <f t="shared" si="71"/>
        <v/>
      </c>
      <c r="B317" s="21" t="s">
        <v>476</v>
      </c>
      <c r="C317" s="15"/>
      <c r="D317" s="242"/>
      <c r="E317" s="280">
        <v>10</v>
      </c>
      <c r="F317" s="85">
        <v>300</v>
      </c>
      <c r="G317" s="85"/>
      <c r="H317" s="15" t="s">
        <v>66</v>
      </c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7">
        <f t="shared" si="72"/>
        <v>0</v>
      </c>
      <c r="T317" s="7" t="s">
        <v>493</v>
      </c>
      <c r="U317" s="66">
        <f>4.2*AF$288</f>
        <v>4.2</v>
      </c>
      <c r="V317" s="31">
        <f t="shared" si="73"/>
        <v>0</v>
      </c>
      <c r="W317" s="35">
        <f>Rate!D$3</f>
        <v>34.5</v>
      </c>
      <c r="X317" s="110">
        <f t="shared" ref="X317:X380" si="76">IF(H317="L",V317*W317,0)</f>
        <v>0</v>
      </c>
      <c r="Y317" s="110">
        <f t="shared" ref="Y317:Y380" si="77">IF(H317="M",S317*W317,0)</f>
        <v>0</v>
      </c>
      <c r="Z317" s="110">
        <f t="shared" ref="Z317:Z380" si="78">IF(H317="S",S317*W317,0)</f>
        <v>0</v>
      </c>
      <c r="AA317" s="110">
        <f t="shared" si="75"/>
        <v>0</v>
      </c>
      <c r="AB317" s="110">
        <f t="shared" si="74"/>
        <v>0</v>
      </c>
      <c r="AC317" s="371" t="s">
        <v>163</v>
      </c>
      <c r="AD317" s="371" t="s">
        <v>148</v>
      </c>
      <c r="AE317" s="371" t="s">
        <v>149</v>
      </c>
      <c r="AF317" s="371"/>
    </row>
    <row r="318" spans="1:32" ht="13.5" hidden="1" thickBot="1" x14ac:dyDescent="0.25">
      <c r="A318" s="14" t="str">
        <f t="shared" si="71"/>
        <v/>
      </c>
      <c r="B318" s="21" t="s">
        <v>476</v>
      </c>
      <c r="C318" s="15"/>
      <c r="D318" s="242"/>
      <c r="E318" s="280">
        <v>12</v>
      </c>
      <c r="F318" s="85">
        <v>300</v>
      </c>
      <c r="G318" s="85"/>
      <c r="H318" s="15" t="s">
        <v>66</v>
      </c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7">
        <f t="shared" si="72"/>
        <v>0</v>
      </c>
      <c r="T318" s="7" t="s">
        <v>493</v>
      </c>
      <c r="U318" s="66">
        <f>5.1*AF$288</f>
        <v>5.0999999999999996</v>
      </c>
      <c r="V318" s="31">
        <f t="shared" si="73"/>
        <v>0</v>
      </c>
      <c r="W318" s="35">
        <f>Rate!D$3</f>
        <v>34.5</v>
      </c>
      <c r="X318" s="110">
        <f t="shared" si="76"/>
        <v>0</v>
      </c>
      <c r="Y318" s="110">
        <f t="shared" si="77"/>
        <v>0</v>
      </c>
      <c r="Z318" s="110">
        <f t="shared" si="78"/>
        <v>0</v>
      </c>
      <c r="AA318" s="110">
        <f t="shared" si="75"/>
        <v>0</v>
      </c>
      <c r="AB318" s="110">
        <f t="shared" si="74"/>
        <v>0</v>
      </c>
      <c r="AC318" s="371" t="s">
        <v>163</v>
      </c>
      <c r="AD318" s="371" t="s">
        <v>148</v>
      </c>
      <c r="AE318" s="371" t="s">
        <v>149</v>
      </c>
      <c r="AF318" s="371"/>
    </row>
    <row r="319" spans="1:32" ht="13.5" hidden="1" thickBot="1" x14ac:dyDescent="0.25">
      <c r="A319" s="14" t="str">
        <f t="shared" si="71"/>
        <v/>
      </c>
      <c r="B319" s="21" t="s">
        <v>476</v>
      </c>
      <c r="C319" s="15"/>
      <c r="D319" s="242"/>
      <c r="E319" s="280">
        <v>14</v>
      </c>
      <c r="F319" s="85">
        <v>300</v>
      </c>
      <c r="G319" s="85"/>
      <c r="H319" s="15" t="s">
        <v>66</v>
      </c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7">
        <f t="shared" si="72"/>
        <v>0</v>
      </c>
      <c r="T319" s="7" t="s">
        <v>493</v>
      </c>
      <c r="U319" s="66">
        <f>6*AF$288</f>
        <v>6</v>
      </c>
      <c r="V319" s="31">
        <f t="shared" si="73"/>
        <v>0</v>
      </c>
      <c r="W319" s="35">
        <f>Rate!D$3</f>
        <v>34.5</v>
      </c>
      <c r="X319" s="110">
        <f t="shared" si="76"/>
        <v>0</v>
      </c>
      <c r="Y319" s="110">
        <f t="shared" si="77"/>
        <v>0</v>
      </c>
      <c r="Z319" s="110">
        <f t="shared" si="78"/>
        <v>0</v>
      </c>
      <c r="AA319" s="110">
        <f t="shared" si="75"/>
        <v>0</v>
      </c>
      <c r="AB319" s="110">
        <f t="shared" si="74"/>
        <v>0</v>
      </c>
      <c r="AC319" s="371" t="s">
        <v>163</v>
      </c>
      <c r="AD319" s="371" t="s">
        <v>148</v>
      </c>
      <c r="AE319" s="371" t="s">
        <v>149</v>
      </c>
      <c r="AF319" s="371"/>
    </row>
    <row r="320" spans="1:32" ht="13.5" hidden="1" thickBot="1" x14ac:dyDescent="0.25">
      <c r="A320" s="14" t="str">
        <f t="shared" si="71"/>
        <v/>
      </c>
      <c r="B320" s="21" t="s">
        <v>476</v>
      </c>
      <c r="C320" s="15"/>
      <c r="D320" s="242"/>
      <c r="E320" s="280">
        <v>16</v>
      </c>
      <c r="F320" s="85">
        <v>300</v>
      </c>
      <c r="G320" s="85"/>
      <c r="H320" s="15" t="s">
        <v>66</v>
      </c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7">
        <f t="shared" si="72"/>
        <v>0</v>
      </c>
      <c r="T320" s="7" t="s">
        <v>493</v>
      </c>
      <c r="U320" s="66">
        <f>7.1*AF$288</f>
        <v>7.1</v>
      </c>
      <c r="V320" s="31">
        <f t="shared" si="73"/>
        <v>0</v>
      </c>
      <c r="W320" s="35">
        <f>Rate!D$3</f>
        <v>34.5</v>
      </c>
      <c r="X320" s="110">
        <f t="shared" si="76"/>
        <v>0</v>
      </c>
      <c r="Y320" s="110">
        <f t="shared" si="77"/>
        <v>0</v>
      </c>
      <c r="Z320" s="110">
        <f t="shared" si="78"/>
        <v>0</v>
      </c>
      <c r="AA320" s="110">
        <f t="shared" si="75"/>
        <v>0</v>
      </c>
      <c r="AB320" s="110">
        <f t="shared" si="74"/>
        <v>0</v>
      </c>
      <c r="AC320" s="371" t="s">
        <v>163</v>
      </c>
      <c r="AD320" s="371" t="s">
        <v>148</v>
      </c>
      <c r="AE320" s="371" t="s">
        <v>149</v>
      </c>
      <c r="AF320" s="371"/>
    </row>
    <row r="321" spans="1:32" ht="13.5" hidden="1" thickBot="1" x14ac:dyDescent="0.25">
      <c r="A321" s="14" t="str">
        <f t="shared" ref="A321:A352" si="79">+IF(AB321&lt;&gt;0,"X","")</f>
        <v/>
      </c>
      <c r="B321" s="21" t="s">
        <v>476</v>
      </c>
      <c r="C321" s="15"/>
      <c r="D321" s="242"/>
      <c r="E321" s="280">
        <v>18</v>
      </c>
      <c r="F321" s="85">
        <v>300</v>
      </c>
      <c r="G321" s="85"/>
      <c r="H321" s="15" t="s">
        <v>66</v>
      </c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7">
        <f t="shared" ref="S321:S352" si="80">SUM(I321:R321)</f>
        <v>0</v>
      </c>
      <c r="T321" s="7" t="s">
        <v>493</v>
      </c>
      <c r="U321" s="66">
        <f>8.1*AF$288</f>
        <v>8.1</v>
      </c>
      <c r="V321" s="31">
        <f t="shared" ref="V321:V352" si="81">+S321*U321</f>
        <v>0</v>
      </c>
      <c r="W321" s="35">
        <f>Rate!D$3</f>
        <v>34.5</v>
      </c>
      <c r="X321" s="110">
        <f t="shared" si="76"/>
        <v>0</v>
      </c>
      <c r="Y321" s="110">
        <f t="shared" si="77"/>
        <v>0</v>
      </c>
      <c r="Z321" s="110">
        <f t="shared" si="78"/>
        <v>0</v>
      </c>
      <c r="AA321" s="110">
        <f t="shared" si="75"/>
        <v>0</v>
      </c>
      <c r="AB321" s="110">
        <f t="shared" ref="AB321:AB344" si="82">SUM(X321:AA321)</f>
        <v>0</v>
      </c>
      <c r="AC321" s="371" t="s">
        <v>163</v>
      </c>
      <c r="AD321" s="371" t="s">
        <v>148</v>
      </c>
      <c r="AE321" s="371" t="s">
        <v>149</v>
      </c>
      <c r="AF321" s="371"/>
    </row>
    <row r="322" spans="1:32" ht="13.5" hidden="1" thickBot="1" x14ac:dyDescent="0.25">
      <c r="A322" s="14" t="str">
        <f t="shared" si="79"/>
        <v/>
      </c>
      <c r="B322" s="21" t="s">
        <v>476</v>
      </c>
      <c r="C322" s="15"/>
      <c r="D322" s="242"/>
      <c r="E322" s="280">
        <v>20</v>
      </c>
      <c r="F322" s="85">
        <v>300</v>
      </c>
      <c r="G322" s="85"/>
      <c r="H322" s="15" t="s">
        <v>66</v>
      </c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7">
        <f t="shared" si="80"/>
        <v>0</v>
      </c>
      <c r="T322" s="7" t="s">
        <v>493</v>
      </c>
      <c r="U322" s="66">
        <f>9.2*AF$288</f>
        <v>9.1999999999999993</v>
      </c>
      <c r="V322" s="31">
        <f t="shared" si="81"/>
        <v>0</v>
      </c>
      <c r="W322" s="35">
        <f>Rate!D$3</f>
        <v>34.5</v>
      </c>
      <c r="X322" s="110">
        <f t="shared" si="76"/>
        <v>0</v>
      </c>
      <c r="Y322" s="110">
        <f t="shared" si="77"/>
        <v>0</v>
      </c>
      <c r="Z322" s="110">
        <f t="shared" si="78"/>
        <v>0</v>
      </c>
      <c r="AA322" s="110">
        <f t="shared" si="75"/>
        <v>0</v>
      </c>
      <c r="AB322" s="110">
        <f t="shared" si="82"/>
        <v>0</v>
      </c>
      <c r="AC322" s="371" t="s">
        <v>163</v>
      </c>
      <c r="AD322" s="371" t="s">
        <v>148</v>
      </c>
      <c r="AE322" s="371" t="s">
        <v>149</v>
      </c>
      <c r="AF322" s="371"/>
    </row>
    <row r="323" spans="1:32" ht="13.5" hidden="1" thickBot="1" x14ac:dyDescent="0.25">
      <c r="A323" s="14" t="str">
        <f t="shared" si="79"/>
        <v/>
      </c>
      <c r="B323" s="21" t="s">
        <v>476</v>
      </c>
      <c r="C323" s="15"/>
      <c r="D323" s="242"/>
      <c r="E323" s="280">
        <v>24</v>
      </c>
      <c r="F323" s="85">
        <v>300</v>
      </c>
      <c r="G323" s="85"/>
      <c r="H323" s="15" t="s">
        <v>66</v>
      </c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7">
        <f t="shared" si="80"/>
        <v>0</v>
      </c>
      <c r="T323" s="7" t="s">
        <v>493</v>
      </c>
      <c r="U323" s="66">
        <f>10.3*AF$288</f>
        <v>10.3</v>
      </c>
      <c r="V323" s="31">
        <f t="shared" si="81"/>
        <v>0</v>
      </c>
      <c r="W323" s="35">
        <f>Rate!D$3</f>
        <v>34.5</v>
      </c>
      <c r="X323" s="110">
        <f t="shared" si="76"/>
        <v>0</v>
      </c>
      <c r="Y323" s="110">
        <f t="shared" si="77"/>
        <v>0</v>
      </c>
      <c r="Z323" s="110">
        <f t="shared" si="78"/>
        <v>0</v>
      </c>
      <c r="AA323" s="110">
        <f t="shared" si="75"/>
        <v>0</v>
      </c>
      <c r="AB323" s="110">
        <f t="shared" si="82"/>
        <v>0</v>
      </c>
      <c r="AC323" s="371" t="s">
        <v>163</v>
      </c>
      <c r="AD323" s="371" t="s">
        <v>148</v>
      </c>
      <c r="AE323" s="371" t="s">
        <v>149</v>
      </c>
      <c r="AF323" s="371"/>
    </row>
    <row r="324" spans="1:32" ht="13.5" hidden="1" thickBot="1" x14ac:dyDescent="0.25">
      <c r="A324" s="14" t="str">
        <f t="shared" si="79"/>
        <v/>
      </c>
      <c r="B324" s="21" t="s">
        <v>476</v>
      </c>
      <c r="C324" s="15"/>
      <c r="D324" s="242"/>
      <c r="E324" s="280">
        <v>30</v>
      </c>
      <c r="F324" s="85">
        <v>300</v>
      </c>
      <c r="G324" s="85"/>
      <c r="H324" s="15" t="s">
        <v>66</v>
      </c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7">
        <f t="shared" si="80"/>
        <v>0</v>
      </c>
      <c r="T324" s="7" t="s">
        <v>493</v>
      </c>
      <c r="U324" s="66">
        <f>11.8*AF$288</f>
        <v>11.8</v>
      </c>
      <c r="V324" s="31">
        <f t="shared" si="81"/>
        <v>0</v>
      </c>
      <c r="W324" s="35">
        <f>Rate!D$3</f>
        <v>34.5</v>
      </c>
      <c r="X324" s="110">
        <f t="shared" si="76"/>
        <v>0</v>
      </c>
      <c r="Y324" s="110">
        <f t="shared" si="77"/>
        <v>0</v>
      </c>
      <c r="Z324" s="110">
        <f t="shared" si="78"/>
        <v>0</v>
      </c>
      <c r="AA324" s="110">
        <f t="shared" si="75"/>
        <v>0</v>
      </c>
      <c r="AB324" s="110">
        <f t="shared" si="82"/>
        <v>0</v>
      </c>
      <c r="AC324" s="371" t="s">
        <v>163</v>
      </c>
      <c r="AD324" s="371" t="s">
        <v>148</v>
      </c>
      <c r="AE324" s="371" t="s">
        <v>149</v>
      </c>
      <c r="AF324" s="371"/>
    </row>
    <row r="325" spans="1:32" ht="13.5" hidden="1" thickBot="1" x14ac:dyDescent="0.25">
      <c r="A325" s="14" t="str">
        <f t="shared" si="79"/>
        <v/>
      </c>
      <c r="B325" s="21" t="s">
        <v>476</v>
      </c>
      <c r="C325" s="15"/>
      <c r="D325" s="242"/>
      <c r="E325" s="280">
        <v>36</v>
      </c>
      <c r="F325" s="85">
        <v>300</v>
      </c>
      <c r="G325" s="85"/>
      <c r="H325" s="15" t="s">
        <v>66</v>
      </c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7">
        <f t="shared" si="80"/>
        <v>0</v>
      </c>
      <c r="T325" s="7" t="s">
        <v>493</v>
      </c>
      <c r="U325" s="66">
        <f>13.2*AF$288</f>
        <v>13.2</v>
      </c>
      <c r="V325" s="31">
        <f t="shared" si="81"/>
        <v>0</v>
      </c>
      <c r="W325" s="35">
        <f>Rate!D$3</f>
        <v>34.5</v>
      </c>
      <c r="X325" s="110">
        <f t="shared" si="76"/>
        <v>0</v>
      </c>
      <c r="Y325" s="110">
        <f t="shared" si="77"/>
        <v>0</v>
      </c>
      <c r="Z325" s="110">
        <f t="shared" si="78"/>
        <v>0</v>
      </c>
      <c r="AA325" s="110">
        <f t="shared" si="75"/>
        <v>0</v>
      </c>
      <c r="AB325" s="110">
        <f t="shared" si="82"/>
        <v>0</v>
      </c>
      <c r="AC325" s="371" t="s">
        <v>163</v>
      </c>
      <c r="AD325" s="371" t="s">
        <v>148</v>
      </c>
      <c r="AE325" s="371" t="s">
        <v>149</v>
      </c>
      <c r="AF325" s="371"/>
    </row>
    <row r="326" spans="1:32" ht="13.5" hidden="1" thickBot="1" x14ac:dyDescent="0.25">
      <c r="A326" s="14" t="str">
        <f t="shared" si="79"/>
        <v/>
      </c>
      <c r="B326" s="21" t="s">
        <v>476</v>
      </c>
      <c r="C326" s="15"/>
      <c r="D326" s="242"/>
      <c r="E326" s="280">
        <v>48</v>
      </c>
      <c r="F326" s="85">
        <v>300</v>
      </c>
      <c r="G326" s="85"/>
      <c r="H326" s="15" t="s">
        <v>66</v>
      </c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7">
        <f t="shared" si="80"/>
        <v>0</v>
      </c>
      <c r="T326" s="7" t="s">
        <v>493</v>
      </c>
      <c r="U326" s="66">
        <f>15.7*AF$288</f>
        <v>15.7</v>
      </c>
      <c r="V326" s="31">
        <f t="shared" si="81"/>
        <v>0</v>
      </c>
      <c r="W326" s="35">
        <f>Rate!D$3</f>
        <v>34.5</v>
      </c>
      <c r="X326" s="110">
        <f t="shared" si="76"/>
        <v>0</v>
      </c>
      <c r="Y326" s="110">
        <f t="shared" si="77"/>
        <v>0</v>
      </c>
      <c r="Z326" s="110">
        <f t="shared" si="78"/>
        <v>0</v>
      </c>
      <c r="AA326" s="110">
        <f t="shared" si="75"/>
        <v>0</v>
      </c>
      <c r="AB326" s="110">
        <f t="shared" si="82"/>
        <v>0</v>
      </c>
      <c r="AC326" s="371" t="s">
        <v>163</v>
      </c>
      <c r="AD326" s="371" t="s">
        <v>148</v>
      </c>
      <c r="AE326" s="371" t="s">
        <v>149</v>
      </c>
      <c r="AF326" s="371"/>
    </row>
    <row r="327" spans="1:32" ht="13.5" hidden="1" thickBot="1" x14ac:dyDescent="0.25">
      <c r="A327" s="14" t="str">
        <f t="shared" si="79"/>
        <v/>
      </c>
      <c r="B327" s="21" t="s">
        <v>476</v>
      </c>
      <c r="C327" s="15"/>
      <c r="D327" s="242"/>
      <c r="E327" s="280">
        <v>0.5</v>
      </c>
      <c r="F327" s="85">
        <v>600</v>
      </c>
      <c r="G327" s="85"/>
      <c r="H327" s="15" t="s">
        <v>66</v>
      </c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7">
        <f t="shared" si="80"/>
        <v>0</v>
      </c>
      <c r="T327" s="7" t="s">
        <v>493</v>
      </c>
      <c r="U327" s="66">
        <f>0.3*AF$288</f>
        <v>0.3</v>
      </c>
      <c r="V327" s="31">
        <f t="shared" si="81"/>
        <v>0</v>
      </c>
      <c r="W327" s="35">
        <f>Rate!D$3</f>
        <v>34.5</v>
      </c>
      <c r="X327" s="110">
        <f t="shared" si="76"/>
        <v>0</v>
      </c>
      <c r="Y327" s="110">
        <f t="shared" si="77"/>
        <v>0</v>
      </c>
      <c r="Z327" s="110">
        <f t="shared" si="78"/>
        <v>0</v>
      </c>
      <c r="AA327" s="110">
        <f t="shared" si="75"/>
        <v>0</v>
      </c>
      <c r="AB327" s="110">
        <f t="shared" si="82"/>
        <v>0</v>
      </c>
      <c r="AC327" s="371" t="s">
        <v>163</v>
      </c>
      <c r="AD327" s="371" t="s">
        <v>148</v>
      </c>
      <c r="AE327" s="371" t="s">
        <v>149</v>
      </c>
      <c r="AF327" s="371"/>
    </row>
    <row r="328" spans="1:32" ht="13.5" hidden="1" thickBot="1" x14ac:dyDescent="0.25">
      <c r="A328" s="14" t="str">
        <f t="shared" si="79"/>
        <v/>
      </c>
      <c r="B328" s="21" t="s">
        <v>476</v>
      </c>
      <c r="C328" s="15"/>
      <c r="D328" s="242"/>
      <c r="E328" s="280">
        <v>0.75</v>
      </c>
      <c r="F328" s="85">
        <v>600</v>
      </c>
      <c r="G328" s="85"/>
      <c r="H328" s="15" t="s">
        <v>66</v>
      </c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7">
        <f t="shared" si="80"/>
        <v>0</v>
      </c>
      <c r="T328" s="7" t="s">
        <v>493</v>
      </c>
      <c r="U328" s="66">
        <f>0.5*AF$288</f>
        <v>0.5</v>
      </c>
      <c r="V328" s="31">
        <f t="shared" si="81"/>
        <v>0</v>
      </c>
      <c r="W328" s="35">
        <f>Rate!D$3</f>
        <v>34.5</v>
      </c>
      <c r="X328" s="110">
        <f t="shared" si="76"/>
        <v>0</v>
      </c>
      <c r="Y328" s="110">
        <f t="shared" si="77"/>
        <v>0</v>
      </c>
      <c r="Z328" s="110">
        <f t="shared" si="78"/>
        <v>0</v>
      </c>
      <c r="AA328" s="110">
        <f t="shared" si="75"/>
        <v>0</v>
      </c>
      <c r="AB328" s="110">
        <f t="shared" si="82"/>
        <v>0</v>
      </c>
      <c r="AC328" s="371" t="s">
        <v>163</v>
      </c>
      <c r="AD328" s="371" t="s">
        <v>148</v>
      </c>
      <c r="AE328" s="371" t="s">
        <v>149</v>
      </c>
      <c r="AF328" s="371"/>
    </row>
    <row r="329" spans="1:32" ht="13.5" hidden="1" thickBot="1" x14ac:dyDescent="0.25">
      <c r="A329" s="14" t="str">
        <f t="shared" si="79"/>
        <v/>
      </c>
      <c r="B329" s="21" t="s">
        <v>476</v>
      </c>
      <c r="C329" s="15"/>
      <c r="D329" s="242"/>
      <c r="E329" s="280">
        <v>1</v>
      </c>
      <c r="F329" s="85">
        <v>600</v>
      </c>
      <c r="G329" s="85"/>
      <c r="H329" s="15" t="s">
        <v>66</v>
      </c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7">
        <f t="shared" si="80"/>
        <v>0</v>
      </c>
      <c r="T329" s="7" t="s">
        <v>493</v>
      </c>
      <c r="U329" s="66">
        <f>0.6*AF$288</f>
        <v>0.6</v>
      </c>
      <c r="V329" s="31">
        <f t="shared" si="81"/>
        <v>0</v>
      </c>
      <c r="W329" s="35">
        <f>Rate!D$3</f>
        <v>34.5</v>
      </c>
      <c r="X329" s="110">
        <f t="shared" si="76"/>
        <v>0</v>
      </c>
      <c r="Y329" s="110">
        <f t="shared" si="77"/>
        <v>0</v>
      </c>
      <c r="Z329" s="110">
        <f t="shared" si="78"/>
        <v>0</v>
      </c>
      <c r="AA329" s="110">
        <f t="shared" si="75"/>
        <v>0</v>
      </c>
      <c r="AB329" s="110">
        <f t="shared" si="82"/>
        <v>0</v>
      </c>
      <c r="AC329" s="371" t="s">
        <v>163</v>
      </c>
      <c r="AD329" s="371" t="s">
        <v>148</v>
      </c>
      <c r="AE329" s="371" t="s">
        <v>149</v>
      </c>
      <c r="AF329" s="371"/>
    </row>
    <row r="330" spans="1:32" ht="13.5" hidden="1" thickBot="1" x14ac:dyDescent="0.25">
      <c r="A330" s="14" t="str">
        <f t="shared" si="79"/>
        <v/>
      </c>
      <c r="B330" s="21" t="s">
        <v>476</v>
      </c>
      <c r="C330" s="15"/>
      <c r="D330" s="242"/>
      <c r="E330" s="280">
        <v>1.5</v>
      </c>
      <c r="F330" s="85">
        <v>600</v>
      </c>
      <c r="G330" s="85"/>
      <c r="H330" s="15" t="s">
        <v>66</v>
      </c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7">
        <f t="shared" si="80"/>
        <v>0</v>
      </c>
      <c r="T330" s="7" t="s">
        <v>493</v>
      </c>
      <c r="U330" s="66">
        <f>1*AF$288</f>
        <v>1</v>
      </c>
      <c r="V330" s="31">
        <f t="shared" si="81"/>
        <v>0</v>
      </c>
      <c r="W330" s="35">
        <f>Rate!D$3</f>
        <v>34.5</v>
      </c>
      <c r="X330" s="110">
        <f t="shared" si="76"/>
        <v>0</v>
      </c>
      <c r="Y330" s="110">
        <f t="shared" si="77"/>
        <v>0</v>
      </c>
      <c r="Z330" s="110">
        <f t="shared" si="78"/>
        <v>0</v>
      </c>
      <c r="AA330" s="110">
        <f t="shared" si="75"/>
        <v>0</v>
      </c>
      <c r="AB330" s="110">
        <f t="shared" si="82"/>
        <v>0</v>
      </c>
      <c r="AC330" s="371" t="s">
        <v>163</v>
      </c>
      <c r="AD330" s="371" t="s">
        <v>148</v>
      </c>
      <c r="AE330" s="371" t="s">
        <v>149</v>
      </c>
      <c r="AF330" s="371"/>
    </row>
    <row r="331" spans="1:32" ht="13.5" hidden="1" thickBot="1" x14ac:dyDescent="0.25">
      <c r="A331" s="14" t="str">
        <f t="shared" si="79"/>
        <v/>
      </c>
      <c r="B331" s="21" t="s">
        <v>476</v>
      </c>
      <c r="C331" s="15"/>
      <c r="D331" s="242"/>
      <c r="E331" s="280">
        <v>2</v>
      </c>
      <c r="F331" s="85">
        <v>600</v>
      </c>
      <c r="G331" s="85"/>
      <c r="H331" s="15" t="s">
        <v>66</v>
      </c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7">
        <f t="shared" si="80"/>
        <v>0</v>
      </c>
      <c r="T331" s="7" t="s">
        <v>493</v>
      </c>
      <c r="U331" s="66">
        <f>1.3*AF$288</f>
        <v>1.3</v>
      </c>
      <c r="V331" s="31">
        <f t="shared" si="81"/>
        <v>0</v>
      </c>
      <c r="W331" s="35">
        <f>Rate!D$3</f>
        <v>34.5</v>
      </c>
      <c r="X331" s="110">
        <f t="shared" si="76"/>
        <v>0</v>
      </c>
      <c r="Y331" s="110">
        <f t="shared" si="77"/>
        <v>0</v>
      </c>
      <c r="Z331" s="110">
        <f t="shared" si="78"/>
        <v>0</v>
      </c>
      <c r="AA331" s="110">
        <f t="shared" si="75"/>
        <v>0</v>
      </c>
      <c r="AB331" s="110">
        <f t="shared" si="82"/>
        <v>0</v>
      </c>
      <c r="AC331" s="371" t="s">
        <v>163</v>
      </c>
      <c r="AD331" s="371" t="s">
        <v>148</v>
      </c>
      <c r="AE331" s="371" t="s">
        <v>149</v>
      </c>
      <c r="AF331" s="371"/>
    </row>
    <row r="332" spans="1:32" ht="13.5" hidden="1" thickBot="1" x14ac:dyDescent="0.25">
      <c r="A332" s="14" t="str">
        <f t="shared" si="79"/>
        <v/>
      </c>
      <c r="B332" s="21" t="s">
        <v>476</v>
      </c>
      <c r="C332" s="15"/>
      <c r="D332" s="242"/>
      <c r="E332" s="280">
        <v>3</v>
      </c>
      <c r="F332" s="85">
        <v>600</v>
      </c>
      <c r="G332" s="85"/>
      <c r="H332" s="15" t="s">
        <v>66</v>
      </c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7">
        <f t="shared" si="80"/>
        <v>0</v>
      </c>
      <c r="T332" s="7" t="s">
        <v>493</v>
      </c>
      <c r="U332" s="66">
        <f>2*AF$288</f>
        <v>2</v>
      </c>
      <c r="V332" s="31">
        <f t="shared" si="81"/>
        <v>0</v>
      </c>
      <c r="W332" s="35">
        <f>Rate!D$3</f>
        <v>34.5</v>
      </c>
      <c r="X332" s="110">
        <f t="shared" si="76"/>
        <v>0</v>
      </c>
      <c r="Y332" s="110">
        <f t="shared" si="77"/>
        <v>0</v>
      </c>
      <c r="Z332" s="110">
        <f t="shared" si="78"/>
        <v>0</v>
      </c>
      <c r="AA332" s="110">
        <f t="shared" si="75"/>
        <v>0</v>
      </c>
      <c r="AB332" s="110">
        <f t="shared" si="82"/>
        <v>0</v>
      </c>
      <c r="AC332" s="371" t="s">
        <v>163</v>
      </c>
      <c r="AD332" s="371" t="s">
        <v>148</v>
      </c>
      <c r="AE332" s="371" t="s">
        <v>149</v>
      </c>
      <c r="AF332" s="371"/>
    </row>
    <row r="333" spans="1:32" ht="13.5" hidden="1" thickBot="1" x14ac:dyDescent="0.25">
      <c r="A333" s="14" t="str">
        <f t="shared" si="79"/>
        <v/>
      </c>
      <c r="B333" s="21" t="s">
        <v>476</v>
      </c>
      <c r="C333" s="15"/>
      <c r="D333" s="242"/>
      <c r="E333" s="280">
        <v>4</v>
      </c>
      <c r="F333" s="85">
        <v>600</v>
      </c>
      <c r="G333" s="85"/>
      <c r="H333" s="15" t="s">
        <v>66</v>
      </c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7">
        <f t="shared" si="80"/>
        <v>0</v>
      </c>
      <c r="T333" s="7" t="s">
        <v>493</v>
      </c>
      <c r="U333" s="66">
        <f>2.6*AF$288</f>
        <v>2.6</v>
      </c>
      <c r="V333" s="31">
        <f t="shared" si="81"/>
        <v>0</v>
      </c>
      <c r="W333" s="35">
        <f>Rate!D$3</f>
        <v>34.5</v>
      </c>
      <c r="X333" s="110">
        <f t="shared" si="76"/>
        <v>0</v>
      </c>
      <c r="Y333" s="110">
        <f t="shared" si="77"/>
        <v>0</v>
      </c>
      <c r="Z333" s="110">
        <f t="shared" si="78"/>
        <v>0</v>
      </c>
      <c r="AA333" s="110">
        <f t="shared" si="75"/>
        <v>0</v>
      </c>
      <c r="AB333" s="110">
        <f t="shared" si="82"/>
        <v>0</v>
      </c>
      <c r="AC333" s="371" t="s">
        <v>163</v>
      </c>
      <c r="AD333" s="371" t="s">
        <v>148</v>
      </c>
      <c r="AE333" s="371" t="s">
        <v>149</v>
      </c>
      <c r="AF333" s="371"/>
    </row>
    <row r="334" spans="1:32" ht="13.5" hidden="1" thickBot="1" x14ac:dyDescent="0.25">
      <c r="A334" s="14" t="str">
        <f t="shared" si="79"/>
        <v/>
      </c>
      <c r="B334" s="21" t="s">
        <v>476</v>
      </c>
      <c r="C334" s="15"/>
      <c r="D334" s="242"/>
      <c r="E334" s="280">
        <v>6</v>
      </c>
      <c r="F334" s="85">
        <v>600</v>
      </c>
      <c r="G334" s="85"/>
      <c r="H334" s="15" t="s">
        <v>66</v>
      </c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7">
        <f t="shared" si="80"/>
        <v>0</v>
      </c>
      <c r="T334" s="7" t="s">
        <v>493</v>
      </c>
      <c r="U334" s="66">
        <f>3.3*AF$288</f>
        <v>3.3</v>
      </c>
      <c r="V334" s="31">
        <f t="shared" si="81"/>
        <v>0</v>
      </c>
      <c r="W334" s="35">
        <f>Rate!D$3</f>
        <v>34.5</v>
      </c>
      <c r="X334" s="110">
        <f t="shared" si="76"/>
        <v>0</v>
      </c>
      <c r="Y334" s="110">
        <f t="shared" si="77"/>
        <v>0</v>
      </c>
      <c r="Z334" s="110">
        <f t="shared" si="78"/>
        <v>0</v>
      </c>
      <c r="AA334" s="110">
        <f t="shared" si="75"/>
        <v>0</v>
      </c>
      <c r="AB334" s="110">
        <f t="shared" si="82"/>
        <v>0</v>
      </c>
      <c r="AC334" s="371" t="s">
        <v>163</v>
      </c>
      <c r="AD334" s="371" t="s">
        <v>148</v>
      </c>
      <c r="AE334" s="371" t="s">
        <v>149</v>
      </c>
      <c r="AF334" s="371"/>
    </row>
    <row r="335" spans="1:32" ht="13.5" hidden="1" thickBot="1" x14ac:dyDescent="0.25">
      <c r="A335" s="14" t="str">
        <f t="shared" si="79"/>
        <v/>
      </c>
      <c r="B335" s="21" t="s">
        <v>476</v>
      </c>
      <c r="C335" s="15"/>
      <c r="D335" s="242"/>
      <c r="E335" s="280">
        <v>8</v>
      </c>
      <c r="F335" s="85">
        <v>600</v>
      </c>
      <c r="G335" s="85"/>
      <c r="H335" s="15" t="s">
        <v>66</v>
      </c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7">
        <f t="shared" si="80"/>
        <v>0</v>
      </c>
      <c r="T335" s="7" t="s">
        <v>493</v>
      </c>
      <c r="U335" s="66">
        <f>4.2*AF$288</f>
        <v>4.2</v>
      </c>
      <c r="V335" s="31">
        <f t="shared" si="81"/>
        <v>0</v>
      </c>
      <c r="W335" s="35">
        <f>Rate!D$3</f>
        <v>34.5</v>
      </c>
      <c r="X335" s="110">
        <f t="shared" si="76"/>
        <v>0</v>
      </c>
      <c r="Y335" s="110">
        <f t="shared" si="77"/>
        <v>0</v>
      </c>
      <c r="Z335" s="110">
        <f t="shared" si="78"/>
        <v>0</v>
      </c>
      <c r="AA335" s="110">
        <f t="shared" si="75"/>
        <v>0</v>
      </c>
      <c r="AB335" s="110">
        <f t="shared" si="82"/>
        <v>0</v>
      </c>
      <c r="AC335" s="371" t="s">
        <v>163</v>
      </c>
      <c r="AD335" s="371" t="s">
        <v>148</v>
      </c>
      <c r="AE335" s="371" t="s">
        <v>149</v>
      </c>
      <c r="AF335" s="371"/>
    </row>
    <row r="336" spans="1:32" ht="13.5" hidden="1" thickBot="1" x14ac:dyDescent="0.25">
      <c r="A336" s="14" t="str">
        <f t="shared" si="79"/>
        <v/>
      </c>
      <c r="B336" s="21" t="s">
        <v>476</v>
      </c>
      <c r="C336" s="15"/>
      <c r="D336" s="242"/>
      <c r="E336" s="280">
        <v>10</v>
      </c>
      <c r="F336" s="85">
        <v>600</v>
      </c>
      <c r="G336" s="85"/>
      <c r="H336" s="15" t="s">
        <v>66</v>
      </c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7">
        <f t="shared" si="80"/>
        <v>0</v>
      </c>
      <c r="T336" s="7" t="s">
        <v>493</v>
      </c>
      <c r="U336" s="66">
        <f>5.1*AF$288</f>
        <v>5.0999999999999996</v>
      </c>
      <c r="V336" s="31">
        <f t="shared" si="81"/>
        <v>0</v>
      </c>
      <c r="W336" s="35">
        <f>Rate!D$3</f>
        <v>34.5</v>
      </c>
      <c r="X336" s="110">
        <f t="shared" si="76"/>
        <v>0</v>
      </c>
      <c r="Y336" s="110">
        <f t="shared" si="77"/>
        <v>0</v>
      </c>
      <c r="Z336" s="110">
        <f t="shared" si="78"/>
        <v>0</v>
      </c>
      <c r="AA336" s="110">
        <f t="shared" si="75"/>
        <v>0</v>
      </c>
      <c r="AB336" s="110">
        <f t="shared" si="82"/>
        <v>0</v>
      </c>
      <c r="AC336" s="371" t="s">
        <v>163</v>
      </c>
      <c r="AD336" s="371" t="s">
        <v>148</v>
      </c>
      <c r="AE336" s="371" t="s">
        <v>149</v>
      </c>
      <c r="AF336" s="371"/>
    </row>
    <row r="337" spans="1:32" ht="13.5" hidden="1" thickBot="1" x14ac:dyDescent="0.25">
      <c r="A337" s="14" t="str">
        <f t="shared" si="79"/>
        <v/>
      </c>
      <c r="B337" s="21" t="s">
        <v>476</v>
      </c>
      <c r="C337" s="15"/>
      <c r="D337" s="242"/>
      <c r="E337" s="280">
        <v>12</v>
      </c>
      <c r="F337" s="85">
        <v>600</v>
      </c>
      <c r="G337" s="85"/>
      <c r="H337" s="15" t="s">
        <v>66</v>
      </c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7">
        <f t="shared" si="80"/>
        <v>0</v>
      </c>
      <c r="T337" s="7" t="s">
        <v>493</v>
      </c>
      <c r="U337" s="66">
        <f>6.3*AF$288</f>
        <v>6.3</v>
      </c>
      <c r="V337" s="31">
        <f t="shared" si="81"/>
        <v>0</v>
      </c>
      <c r="W337" s="35">
        <f>Rate!D$3</f>
        <v>34.5</v>
      </c>
      <c r="X337" s="110">
        <f t="shared" si="76"/>
        <v>0</v>
      </c>
      <c r="Y337" s="110">
        <f t="shared" si="77"/>
        <v>0</v>
      </c>
      <c r="Z337" s="110">
        <f t="shared" si="78"/>
        <v>0</v>
      </c>
      <c r="AA337" s="110">
        <f t="shared" si="75"/>
        <v>0</v>
      </c>
      <c r="AB337" s="110">
        <f t="shared" si="82"/>
        <v>0</v>
      </c>
      <c r="AC337" s="371" t="s">
        <v>163</v>
      </c>
      <c r="AD337" s="371" t="s">
        <v>148</v>
      </c>
      <c r="AE337" s="371" t="s">
        <v>149</v>
      </c>
      <c r="AF337" s="371"/>
    </row>
    <row r="338" spans="1:32" ht="13.5" hidden="1" thickBot="1" x14ac:dyDescent="0.25">
      <c r="A338" s="14" t="str">
        <f t="shared" si="79"/>
        <v/>
      </c>
      <c r="B338" s="21" t="s">
        <v>476</v>
      </c>
      <c r="C338" s="15"/>
      <c r="D338" s="242"/>
      <c r="E338" s="280">
        <v>14</v>
      </c>
      <c r="F338" s="85">
        <v>600</v>
      </c>
      <c r="G338" s="85"/>
      <c r="H338" s="15" t="s">
        <v>66</v>
      </c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7">
        <f t="shared" si="80"/>
        <v>0</v>
      </c>
      <c r="T338" s="7" t="s">
        <v>493</v>
      </c>
      <c r="U338" s="66">
        <f>7.5*AF$288</f>
        <v>7.5</v>
      </c>
      <c r="V338" s="31">
        <f t="shared" si="81"/>
        <v>0</v>
      </c>
      <c r="W338" s="35">
        <f>Rate!D$3</f>
        <v>34.5</v>
      </c>
      <c r="X338" s="110">
        <f t="shared" si="76"/>
        <v>0</v>
      </c>
      <c r="Y338" s="110">
        <f t="shared" si="77"/>
        <v>0</v>
      </c>
      <c r="Z338" s="110">
        <f t="shared" si="78"/>
        <v>0</v>
      </c>
      <c r="AA338" s="110">
        <f t="shared" si="75"/>
        <v>0</v>
      </c>
      <c r="AB338" s="110">
        <f t="shared" si="82"/>
        <v>0</v>
      </c>
      <c r="AC338" s="371" t="s">
        <v>163</v>
      </c>
      <c r="AD338" s="371" t="s">
        <v>148</v>
      </c>
      <c r="AE338" s="371" t="s">
        <v>149</v>
      </c>
      <c r="AF338" s="371"/>
    </row>
    <row r="339" spans="1:32" ht="13.5" hidden="1" thickBot="1" x14ac:dyDescent="0.25">
      <c r="A339" s="14" t="str">
        <f t="shared" si="79"/>
        <v/>
      </c>
      <c r="B339" s="21" t="s">
        <v>476</v>
      </c>
      <c r="C339" s="15"/>
      <c r="D339" s="242"/>
      <c r="E339" s="280">
        <v>16</v>
      </c>
      <c r="F339" s="85">
        <v>600</v>
      </c>
      <c r="G339" s="85"/>
      <c r="H339" s="15" t="s">
        <v>66</v>
      </c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7">
        <f t="shared" si="80"/>
        <v>0</v>
      </c>
      <c r="T339" s="7" t="s">
        <v>493</v>
      </c>
      <c r="U339" s="66">
        <f>8.8*AF$288</f>
        <v>8.8000000000000007</v>
      </c>
      <c r="V339" s="31">
        <f t="shared" si="81"/>
        <v>0</v>
      </c>
      <c r="W339" s="35">
        <f>Rate!D$3</f>
        <v>34.5</v>
      </c>
      <c r="X339" s="110">
        <f t="shared" si="76"/>
        <v>0</v>
      </c>
      <c r="Y339" s="110">
        <f t="shared" si="77"/>
        <v>0</v>
      </c>
      <c r="Z339" s="110">
        <f t="shared" si="78"/>
        <v>0</v>
      </c>
      <c r="AA339" s="110">
        <f t="shared" si="75"/>
        <v>0</v>
      </c>
      <c r="AB339" s="110">
        <f t="shared" si="82"/>
        <v>0</v>
      </c>
      <c r="AC339" s="371" t="s">
        <v>163</v>
      </c>
      <c r="AD339" s="371" t="s">
        <v>148</v>
      </c>
      <c r="AE339" s="371" t="s">
        <v>149</v>
      </c>
      <c r="AF339" s="371"/>
    </row>
    <row r="340" spans="1:32" ht="13.5" hidden="1" thickBot="1" x14ac:dyDescent="0.25">
      <c r="A340" s="14" t="str">
        <f t="shared" si="79"/>
        <v/>
      </c>
      <c r="B340" s="21" t="s">
        <v>476</v>
      </c>
      <c r="C340" s="15"/>
      <c r="D340" s="242"/>
      <c r="E340" s="280">
        <v>18</v>
      </c>
      <c r="F340" s="85">
        <v>600</v>
      </c>
      <c r="G340" s="85"/>
      <c r="H340" s="15" t="s">
        <v>66</v>
      </c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7">
        <f t="shared" si="80"/>
        <v>0</v>
      </c>
      <c r="T340" s="7" t="s">
        <v>493</v>
      </c>
      <c r="U340" s="66">
        <f>10.4*AF$288</f>
        <v>10.4</v>
      </c>
      <c r="V340" s="31">
        <f t="shared" si="81"/>
        <v>0</v>
      </c>
      <c r="W340" s="35">
        <f>Rate!D$3</f>
        <v>34.5</v>
      </c>
      <c r="X340" s="110">
        <f t="shared" si="76"/>
        <v>0</v>
      </c>
      <c r="Y340" s="110">
        <f t="shared" si="77"/>
        <v>0</v>
      </c>
      <c r="Z340" s="110">
        <f t="shared" si="78"/>
        <v>0</v>
      </c>
      <c r="AA340" s="110">
        <f t="shared" si="75"/>
        <v>0</v>
      </c>
      <c r="AB340" s="110">
        <f t="shared" si="82"/>
        <v>0</v>
      </c>
      <c r="AC340" s="371" t="s">
        <v>163</v>
      </c>
      <c r="AD340" s="371" t="s">
        <v>148</v>
      </c>
      <c r="AE340" s="371" t="s">
        <v>149</v>
      </c>
      <c r="AF340" s="371"/>
    </row>
    <row r="341" spans="1:32" ht="13.5" hidden="1" thickBot="1" x14ac:dyDescent="0.25">
      <c r="A341" s="14" t="str">
        <f t="shared" si="79"/>
        <v/>
      </c>
      <c r="B341" s="21" t="s">
        <v>476</v>
      </c>
      <c r="C341" s="15"/>
      <c r="D341" s="242"/>
      <c r="E341" s="280">
        <v>20</v>
      </c>
      <c r="F341" s="85">
        <v>600</v>
      </c>
      <c r="G341" s="85"/>
      <c r="H341" s="15" t="s">
        <v>66</v>
      </c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7">
        <f t="shared" si="80"/>
        <v>0</v>
      </c>
      <c r="T341" s="7" t="s">
        <v>493</v>
      </c>
      <c r="U341" s="66">
        <f>11.9*AF$288</f>
        <v>11.9</v>
      </c>
      <c r="V341" s="31">
        <f t="shared" si="81"/>
        <v>0</v>
      </c>
      <c r="W341" s="35">
        <f>Rate!D$3</f>
        <v>34.5</v>
      </c>
      <c r="X341" s="110">
        <f t="shared" si="76"/>
        <v>0</v>
      </c>
      <c r="Y341" s="110">
        <f t="shared" si="77"/>
        <v>0</v>
      </c>
      <c r="Z341" s="110">
        <f t="shared" si="78"/>
        <v>0</v>
      </c>
      <c r="AA341" s="110">
        <f t="shared" si="75"/>
        <v>0</v>
      </c>
      <c r="AB341" s="110">
        <f t="shared" si="82"/>
        <v>0</v>
      </c>
      <c r="AC341" s="371" t="s">
        <v>163</v>
      </c>
      <c r="AD341" s="371" t="s">
        <v>148</v>
      </c>
      <c r="AE341" s="371" t="s">
        <v>149</v>
      </c>
      <c r="AF341" s="371"/>
    </row>
    <row r="342" spans="1:32" ht="13.5" hidden="1" thickBot="1" x14ac:dyDescent="0.25">
      <c r="A342" s="14" t="str">
        <f t="shared" si="79"/>
        <v/>
      </c>
      <c r="B342" s="21" t="s">
        <v>476</v>
      </c>
      <c r="C342" s="15"/>
      <c r="D342" s="242"/>
      <c r="E342" s="280">
        <v>24</v>
      </c>
      <c r="F342" s="85">
        <v>600</v>
      </c>
      <c r="G342" s="85"/>
      <c r="H342" s="15" t="s">
        <v>66</v>
      </c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7">
        <f t="shared" si="80"/>
        <v>0</v>
      </c>
      <c r="T342" s="7" t="s">
        <v>493</v>
      </c>
      <c r="U342" s="66">
        <f>13.6*AF$288</f>
        <v>13.6</v>
      </c>
      <c r="V342" s="31">
        <f t="shared" si="81"/>
        <v>0</v>
      </c>
      <c r="W342" s="35">
        <f>Rate!D$3</f>
        <v>34.5</v>
      </c>
      <c r="X342" s="110">
        <f t="shared" si="76"/>
        <v>0</v>
      </c>
      <c r="Y342" s="110">
        <f t="shared" si="77"/>
        <v>0</v>
      </c>
      <c r="Z342" s="110">
        <f t="shared" si="78"/>
        <v>0</v>
      </c>
      <c r="AA342" s="110">
        <f t="shared" si="75"/>
        <v>0</v>
      </c>
      <c r="AB342" s="110">
        <f t="shared" si="82"/>
        <v>0</v>
      </c>
      <c r="AC342" s="371" t="s">
        <v>163</v>
      </c>
      <c r="AD342" s="371" t="s">
        <v>148</v>
      </c>
      <c r="AE342" s="371" t="s">
        <v>149</v>
      </c>
      <c r="AF342" s="371"/>
    </row>
    <row r="343" spans="1:32" ht="13.5" hidden="1" thickBot="1" x14ac:dyDescent="0.25">
      <c r="A343" s="14" t="str">
        <f t="shared" si="79"/>
        <v/>
      </c>
      <c r="B343" s="21" t="s">
        <v>476</v>
      </c>
      <c r="C343" s="15"/>
      <c r="D343" s="242"/>
      <c r="E343" s="280">
        <v>30</v>
      </c>
      <c r="F343" s="85">
        <v>600</v>
      </c>
      <c r="G343" s="85"/>
      <c r="H343" s="15" t="s">
        <v>66</v>
      </c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7">
        <f t="shared" si="80"/>
        <v>0</v>
      </c>
      <c r="T343" s="7" t="s">
        <v>493</v>
      </c>
      <c r="U343" s="66">
        <f>15.5*AF$288</f>
        <v>15.5</v>
      </c>
      <c r="V343" s="31">
        <f t="shared" si="81"/>
        <v>0</v>
      </c>
      <c r="W343" s="35">
        <f>Rate!D$3</f>
        <v>34.5</v>
      </c>
      <c r="X343" s="110">
        <f t="shared" si="76"/>
        <v>0</v>
      </c>
      <c r="Y343" s="110">
        <f t="shared" si="77"/>
        <v>0</v>
      </c>
      <c r="Z343" s="110">
        <f t="shared" si="78"/>
        <v>0</v>
      </c>
      <c r="AA343" s="110">
        <f t="shared" si="75"/>
        <v>0</v>
      </c>
      <c r="AB343" s="110">
        <f t="shared" si="82"/>
        <v>0</v>
      </c>
      <c r="AC343" s="371" t="s">
        <v>163</v>
      </c>
      <c r="AD343" s="371" t="s">
        <v>148</v>
      </c>
      <c r="AE343" s="371" t="s">
        <v>149</v>
      </c>
      <c r="AF343" s="371"/>
    </row>
    <row r="344" spans="1:32" ht="13.5" hidden="1" thickBot="1" x14ac:dyDescent="0.25">
      <c r="A344" s="14" t="str">
        <f t="shared" si="79"/>
        <v/>
      </c>
      <c r="B344" s="21" t="s">
        <v>476</v>
      </c>
      <c r="C344" s="15"/>
      <c r="D344" s="242"/>
      <c r="E344" s="280">
        <v>36</v>
      </c>
      <c r="F344" s="85">
        <v>600</v>
      </c>
      <c r="G344" s="85"/>
      <c r="H344" s="15" t="s">
        <v>66</v>
      </c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7">
        <f t="shared" si="80"/>
        <v>0</v>
      </c>
      <c r="T344" s="7" t="s">
        <v>493</v>
      </c>
      <c r="U344" s="66">
        <f>17.4*AF$288</f>
        <v>17.399999999999999</v>
      </c>
      <c r="V344" s="31">
        <f t="shared" si="81"/>
        <v>0</v>
      </c>
      <c r="W344" s="35">
        <f>Rate!D$3</f>
        <v>34.5</v>
      </c>
      <c r="X344" s="110">
        <f t="shared" si="76"/>
        <v>0</v>
      </c>
      <c r="Y344" s="110">
        <f t="shared" si="77"/>
        <v>0</v>
      </c>
      <c r="Z344" s="110">
        <f t="shared" si="78"/>
        <v>0</v>
      </c>
      <c r="AA344" s="110">
        <f t="shared" si="75"/>
        <v>0</v>
      </c>
      <c r="AB344" s="110">
        <f t="shared" si="82"/>
        <v>0</v>
      </c>
      <c r="AC344" s="371" t="s">
        <v>163</v>
      </c>
      <c r="AD344" s="371" t="s">
        <v>148</v>
      </c>
      <c r="AE344" s="371" t="s">
        <v>149</v>
      </c>
      <c r="AF344" s="371"/>
    </row>
    <row r="345" spans="1:32" ht="13.5" hidden="1" thickBot="1" x14ac:dyDescent="0.25">
      <c r="A345" s="14" t="str">
        <f t="shared" si="79"/>
        <v/>
      </c>
      <c r="B345" s="21" t="s">
        <v>476</v>
      </c>
      <c r="C345" s="15"/>
      <c r="D345" s="242"/>
      <c r="E345" s="280">
        <v>48</v>
      </c>
      <c r="F345" s="85">
        <v>600</v>
      </c>
      <c r="G345" s="85"/>
      <c r="H345" s="15" t="s">
        <v>66</v>
      </c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7">
        <f t="shared" si="80"/>
        <v>0</v>
      </c>
      <c r="T345" s="7" t="s">
        <v>493</v>
      </c>
      <c r="U345" s="66">
        <f>20.8*AF$288</f>
        <v>20.8</v>
      </c>
      <c r="V345" s="31">
        <f t="shared" si="81"/>
        <v>0</v>
      </c>
      <c r="W345" s="35">
        <f>Rate!D$3</f>
        <v>34.5</v>
      </c>
      <c r="X345" s="110">
        <f t="shared" si="76"/>
        <v>0</v>
      </c>
      <c r="Y345" s="110">
        <f t="shared" si="77"/>
        <v>0</v>
      </c>
      <c r="Z345" s="110">
        <f t="shared" si="78"/>
        <v>0</v>
      </c>
      <c r="AA345" s="110">
        <f t="shared" si="75"/>
        <v>0</v>
      </c>
      <c r="AB345" s="110">
        <f t="shared" ref="AB345:AB363" si="83">SUM(X345:AA345)</f>
        <v>0</v>
      </c>
      <c r="AC345" s="371" t="s">
        <v>163</v>
      </c>
      <c r="AD345" s="371" t="s">
        <v>148</v>
      </c>
      <c r="AE345" s="371" t="s">
        <v>149</v>
      </c>
      <c r="AF345" s="371"/>
    </row>
    <row r="346" spans="1:32" ht="13.5" hidden="1" thickBot="1" x14ac:dyDescent="0.25">
      <c r="A346" s="14" t="str">
        <f t="shared" si="79"/>
        <v/>
      </c>
      <c r="B346" s="21" t="s">
        <v>476</v>
      </c>
      <c r="C346" s="15"/>
      <c r="D346" s="242"/>
      <c r="E346" s="280">
        <v>0.5</v>
      </c>
      <c r="F346" s="85">
        <v>900</v>
      </c>
      <c r="G346" s="85"/>
      <c r="H346" s="15" t="s">
        <v>66</v>
      </c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7">
        <f t="shared" si="80"/>
        <v>0</v>
      </c>
      <c r="T346" s="7" t="s">
        <v>493</v>
      </c>
      <c r="U346" s="66">
        <f>0.3*AF$288</f>
        <v>0.3</v>
      </c>
      <c r="V346" s="31">
        <f t="shared" si="81"/>
        <v>0</v>
      </c>
      <c r="W346" s="35">
        <f>Rate!D$3</f>
        <v>34.5</v>
      </c>
      <c r="X346" s="110">
        <f t="shared" si="76"/>
        <v>0</v>
      </c>
      <c r="Y346" s="110">
        <f t="shared" si="77"/>
        <v>0</v>
      </c>
      <c r="Z346" s="110">
        <f t="shared" si="78"/>
        <v>0</v>
      </c>
      <c r="AA346" s="110">
        <f t="shared" si="75"/>
        <v>0</v>
      </c>
      <c r="AB346" s="110">
        <f t="shared" si="83"/>
        <v>0</v>
      </c>
      <c r="AC346" s="371" t="s">
        <v>163</v>
      </c>
      <c r="AD346" s="371" t="s">
        <v>148</v>
      </c>
      <c r="AE346" s="371" t="s">
        <v>149</v>
      </c>
      <c r="AF346" s="371"/>
    </row>
    <row r="347" spans="1:32" ht="13.5" hidden="1" thickBot="1" x14ac:dyDescent="0.25">
      <c r="A347" s="14" t="str">
        <f t="shared" si="79"/>
        <v/>
      </c>
      <c r="B347" s="21" t="s">
        <v>476</v>
      </c>
      <c r="C347" s="15"/>
      <c r="D347" s="242"/>
      <c r="E347" s="280">
        <v>0.75</v>
      </c>
      <c r="F347" s="85">
        <v>900</v>
      </c>
      <c r="G347" s="85"/>
      <c r="H347" s="15" t="s">
        <v>66</v>
      </c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7">
        <f t="shared" si="80"/>
        <v>0</v>
      </c>
      <c r="T347" s="7" t="s">
        <v>493</v>
      </c>
      <c r="U347" s="66">
        <f>0.5*AF$288</f>
        <v>0.5</v>
      </c>
      <c r="V347" s="31">
        <f t="shared" si="81"/>
        <v>0</v>
      </c>
      <c r="W347" s="35">
        <f>Rate!D$3</f>
        <v>34.5</v>
      </c>
      <c r="X347" s="110">
        <f t="shared" si="76"/>
        <v>0</v>
      </c>
      <c r="Y347" s="110">
        <f t="shared" si="77"/>
        <v>0</v>
      </c>
      <c r="Z347" s="110">
        <f t="shared" si="78"/>
        <v>0</v>
      </c>
      <c r="AA347" s="110">
        <f t="shared" si="75"/>
        <v>0</v>
      </c>
      <c r="AB347" s="110">
        <f t="shared" si="83"/>
        <v>0</v>
      </c>
      <c r="AC347" s="371" t="s">
        <v>163</v>
      </c>
      <c r="AD347" s="371" t="s">
        <v>148</v>
      </c>
      <c r="AE347" s="371" t="s">
        <v>149</v>
      </c>
      <c r="AF347" s="371"/>
    </row>
    <row r="348" spans="1:32" ht="13.5" hidden="1" thickBot="1" x14ac:dyDescent="0.25">
      <c r="A348" s="14" t="str">
        <f t="shared" si="79"/>
        <v/>
      </c>
      <c r="B348" s="21" t="s">
        <v>476</v>
      </c>
      <c r="C348" s="15"/>
      <c r="D348" s="242"/>
      <c r="E348" s="280">
        <v>1</v>
      </c>
      <c r="F348" s="85">
        <v>900</v>
      </c>
      <c r="G348" s="85"/>
      <c r="H348" s="15" t="s">
        <v>66</v>
      </c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7">
        <f t="shared" si="80"/>
        <v>0</v>
      </c>
      <c r="T348" s="7" t="s">
        <v>493</v>
      </c>
      <c r="U348" s="66">
        <f>0.6*AF$288</f>
        <v>0.6</v>
      </c>
      <c r="V348" s="31">
        <f t="shared" si="81"/>
        <v>0</v>
      </c>
      <c r="W348" s="35">
        <f>Rate!D$3</f>
        <v>34.5</v>
      </c>
      <c r="X348" s="110">
        <f t="shared" si="76"/>
        <v>0</v>
      </c>
      <c r="Y348" s="110">
        <f t="shared" si="77"/>
        <v>0</v>
      </c>
      <c r="Z348" s="110">
        <f t="shared" si="78"/>
        <v>0</v>
      </c>
      <c r="AA348" s="110">
        <f t="shared" si="75"/>
        <v>0</v>
      </c>
      <c r="AB348" s="110">
        <f t="shared" si="83"/>
        <v>0</v>
      </c>
      <c r="AC348" s="371" t="s">
        <v>163</v>
      </c>
      <c r="AD348" s="371" t="s">
        <v>148</v>
      </c>
      <c r="AE348" s="371" t="s">
        <v>149</v>
      </c>
      <c r="AF348" s="371"/>
    </row>
    <row r="349" spans="1:32" ht="13.5" hidden="1" thickBot="1" x14ac:dyDescent="0.25">
      <c r="A349" s="14" t="str">
        <f t="shared" si="79"/>
        <v/>
      </c>
      <c r="B349" s="21" t="s">
        <v>476</v>
      </c>
      <c r="C349" s="15"/>
      <c r="D349" s="242"/>
      <c r="E349" s="280">
        <v>1.5</v>
      </c>
      <c r="F349" s="85">
        <v>900</v>
      </c>
      <c r="G349" s="85"/>
      <c r="H349" s="15" t="s">
        <v>66</v>
      </c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7">
        <f t="shared" si="80"/>
        <v>0</v>
      </c>
      <c r="T349" s="7" t="s">
        <v>493</v>
      </c>
      <c r="U349" s="66">
        <f>1*AF$288</f>
        <v>1</v>
      </c>
      <c r="V349" s="31">
        <f t="shared" si="81"/>
        <v>0</v>
      </c>
      <c r="W349" s="35">
        <f>Rate!D$3</f>
        <v>34.5</v>
      </c>
      <c r="X349" s="110">
        <f t="shared" si="76"/>
        <v>0</v>
      </c>
      <c r="Y349" s="110">
        <f t="shared" si="77"/>
        <v>0</v>
      </c>
      <c r="Z349" s="110">
        <f t="shared" si="78"/>
        <v>0</v>
      </c>
      <c r="AA349" s="110">
        <f t="shared" si="75"/>
        <v>0</v>
      </c>
      <c r="AB349" s="110">
        <f t="shared" si="83"/>
        <v>0</v>
      </c>
      <c r="AC349" s="371" t="s">
        <v>163</v>
      </c>
      <c r="AD349" s="371" t="s">
        <v>148</v>
      </c>
      <c r="AE349" s="371" t="s">
        <v>149</v>
      </c>
      <c r="AF349" s="371"/>
    </row>
    <row r="350" spans="1:32" ht="13.5" hidden="1" thickBot="1" x14ac:dyDescent="0.25">
      <c r="A350" s="14" t="str">
        <f t="shared" si="79"/>
        <v/>
      </c>
      <c r="B350" s="21" t="s">
        <v>476</v>
      </c>
      <c r="C350" s="15"/>
      <c r="D350" s="242"/>
      <c r="E350" s="280">
        <v>2</v>
      </c>
      <c r="F350" s="85">
        <v>900</v>
      </c>
      <c r="G350" s="85"/>
      <c r="H350" s="15" t="s">
        <v>66</v>
      </c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7">
        <f t="shared" si="80"/>
        <v>0</v>
      </c>
      <c r="T350" s="7" t="s">
        <v>493</v>
      </c>
      <c r="U350" s="66">
        <f>1.3*AF$288</f>
        <v>1.3</v>
      </c>
      <c r="V350" s="31">
        <f t="shared" si="81"/>
        <v>0</v>
      </c>
      <c r="W350" s="35">
        <f>Rate!D$3</f>
        <v>34.5</v>
      </c>
      <c r="X350" s="110">
        <f t="shared" si="76"/>
        <v>0</v>
      </c>
      <c r="Y350" s="110">
        <f t="shared" si="77"/>
        <v>0</v>
      </c>
      <c r="Z350" s="110">
        <f t="shared" si="78"/>
        <v>0</v>
      </c>
      <c r="AA350" s="110">
        <f t="shared" si="75"/>
        <v>0</v>
      </c>
      <c r="AB350" s="110">
        <f t="shared" si="83"/>
        <v>0</v>
      </c>
      <c r="AC350" s="371" t="s">
        <v>163</v>
      </c>
      <c r="AD350" s="371" t="s">
        <v>148</v>
      </c>
      <c r="AE350" s="371" t="s">
        <v>149</v>
      </c>
      <c r="AF350" s="371"/>
    </row>
    <row r="351" spans="1:32" ht="13.5" hidden="1" thickBot="1" x14ac:dyDescent="0.25">
      <c r="A351" s="14" t="str">
        <f t="shared" si="79"/>
        <v/>
      </c>
      <c r="B351" s="21" t="s">
        <v>476</v>
      </c>
      <c r="C351" s="15"/>
      <c r="D351" s="242"/>
      <c r="E351" s="280">
        <v>3</v>
      </c>
      <c r="F351" s="85">
        <v>900</v>
      </c>
      <c r="G351" s="85"/>
      <c r="H351" s="15" t="s">
        <v>66</v>
      </c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7">
        <f t="shared" si="80"/>
        <v>0</v>
      </c>
      <c r="T351" s="7" t="s">
        <v>493</v>
      </c>
      <c r="U351" s="66">
        <f>2*AF$288</f>
        <v>2</v>
      </c>
      <c r="V351" s="31">
        <f t="shared" si="81"/>
        <v>0</v>
      </c>
      <c r="W351" s="35">
        <f>Rate!D$3</f>
        <v>34.5</v>
      </c>
      <c r="X351" s="110">
        <f t="shared" si="76"/>
        <v>0</v>
      </c>
      <c r="Y351" s="110">
        <f t="shared" si="77"/>
        <v>0</v>
      </c>
      <c r="Z351" s="110">
        <f t="shared" si="78"/>
        <v>0</v>
      </c>
      <c r="AA351" s="110">
        <f t="shared" si="75"/>
        <v>0</v>
      </c>
      <c r="AB351" s="110">
        <f t="shared" si="83"/>
        <v>0</v>
      </c>
      <c r="AC351" s="371" t="s">
        <v>163</v>
      </c>
      <c r="AD351" s="371" t="s">
        <v>148</v>
      </c>
      <c r="AE351" s="371" t="s">
        <v>149</v>
      </c>
      <c r="AF351" s="371"/>
    </row>
    <row r="352" spans="1:32" ht="13.5" hidden="1" thickBot="1" x14ac:dyDescent="0.25">
      <c r="A352" s="14" t="str">
        <f t="shared" si="79"/>
        <v/>
      </c>
      <c r="B352" s="21" t="s">
        <v>476</v>
      </c>
      <c r="C352" s="15"/>
      <c r="D352" s="242"/>
      <c r="E352" s="280">
        <v>4</v>
      </c>
      <c r="F352" s="85">
        <v>900</v>
      </c>
      <c r="G352" s="85"/>
      <c r="H352" s="15" t="s">
        <v>66</v>
      </c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7">
        <f t="shared" si="80"/>
        <v>0</v>
      </c>
      <c r="T352" s="7" t="s">
        <v>493</v>
      </c>
      <c r="U352" s="66">
        <f>2.6*AF$288</f>
        <v>2.6</v>
      </c>
      <c r="V352" s="31">
        <f t="shared" si="81"/>
        <v>0</v>
      </c>
      <c r="W352" s="35">
        <f>Rate!D$3</f>
        <v>34.5</v>
      </c>
      <c r="X352" s="110">
        <f t="shared" si="76"/>
        <v>0</v>
      </c>
      <c r="Y352" s="110">
        <f t="shared" si="77"/>
        <v>0</v>
      </c>
      <c r="Z352" s="110">
        <f t="shared" si="78"/>
        <v>0</v>
      </c>
      <c r="AA352" s="110">
        <f t="shared" si="75"/>
        <v>0</v>
      </c>
      <c r="AB352" s="110">
        <f t="shared" si="83"/>
        <v>0</v>
      </c>
      <c r="AC352" s="371" t="s">
        <v>163</v>
      </c>
      <c r="AD352" s="371" t="s">
        <v>148</v>
      </c>
      <c r="AE352" s="371" t="s">
        <v>149</v>
      </c>
      <c r="AF352" s="371"/>
    </row>
    <row r="353" spans="1:32" ht="13.5" hidden="1" thickBot="1" x14ac:dyDescent="0.25">
      <c r="A353" s="14" t="str">
        <f t="shared" ref="A353:A384" si="84">+IF(AB353&lt;&gt;0,"X","")</f>
        <v/>
      </c>
      <c r="B353" s="21" t="s">
        <v>476</v>
      </c>
      <c r="C353" s="15"/>
      <c r="D353" s="242"/>
      <c r="E353" s="280">
        <v>6</v>
      </c>
      <c r="F353" s="85">
        <v>900</v>
      </c>
      <c r="G353" s="85"/>
      <c r="H353" s="15" t="s">
        <v>66</v>
      </c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7">
        <f t="shared" ref="S353:S365" si="85">SUM(I353:R353)</f>
        <v>0</v>
      </c>
      <c r="T353" s="7" t="s">
        <v>493</v>
      </c>
      <c r="U353" s="66">
        <f>3.3*AF$288</f>
        <v>3.3</v>
      </c>
      <c r="V353" s="31">
        <f t="shared" ref="V353:V384" si="86">+S353*U353</f>
        <v>0</v>
      </c>
      <c r="W353" s="35">
        <f>Rate!D$3</f>
        <v>34.5</v>
      </c>
      <c r="X353" s="110">
        <f t="shared" si="76"/>
        <v>0</v>
      </c>
      <c r="Y353" s="110">
        <f t="shared" si="77"/>
        <v>0</v>
      </c>
      <c r="Z353" s="110">
        <f t="shared" si="78"/>
        <v>0</v>
      </c>
      <c r="AA353" s="110">
        <f t="shared" si="75"/>
        <v>0</v>
      </c>
      <c r="AB353" s="110">
        <f t="shared" si="83"/>
        <v>0</v>
      </c>
      <c r="AC353" s="371" t="s">
        <v>163</v>
      </c>
      <c r="AD353" s="371" t="s">
        <v>148</v>
      </c>
      <c r="AE353" s="371" t="s">
        <v>149</v>
      </c>
      <c r="AF353" s="371"/>
    </row>
    <row r="354" spans="1:32" ht="13.5" hidden="1" thickBot="1" x14ac:dyDescent="0.25">
      <c r="A354" s="14" t="str">
        <f t="shared" si="84"/>
        <v/>
      </c>
      <c r="B354" s="21" t="s">
        <v>476</v>
      </c>
      <c r="C354" s="15"/>
      <c r="D354" s="242"/>
      <c r="E354" s="280">
        <v>8</v>
      </c>
      <c r="F354" s="85">
        <v>900</v>
      </c>
      <c r="G354" s="85"/>
      <c r="H354" s="15" t="s">
        <v>66</v>
      </c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7">
        <f t="shared" si="85"/>
        <v>0</v>
      </c>
      <c r="T354" s="7" t="s">
        <v>493</v>
      </c>
      <c r="U354" s="66">
        <f>4.2*AF$288</f>
        <v>4.2</v>
      </c>
      <c r="V354" s="31">
        <f t="shared" si="86"/>
        <v>0</v>
      </c>
      <c r="W354" s="35">
        <f>Rate!D$3</f>
        <v>34.5</v>
      </c>
      <c r="X354" s="110">
        <f t="shared" si="76"/>
        <v>0</v>
      </c>
      <c r="Y354" s="110">
        <f t="shared" si="77"/>
        <v>0</v>
      </c>
      <c r="Z354" s="110">
        <f t="shared" si="78"/>
        <v>0</v>
      </c>
      <c r="AA354" s="110">
        <f t="shared" si="75"/>
        <v>0</v>
      </c>
      <c r="AB354" s="110">
        <f t="shared" si="83"/>
        <v>0</v>
      </c>
      <c r="AC354" s="371" t="s">
        <v>163</v>
      </c>
      <c r="AD354" s="371" t="s">
        <v>148</v>
      </c>
      <c r="AE354" s="371" t="s">
        <v>149</v>
      </c>
      <c r="AF354" s="371"/>
    </row>
    <row r="355" spans="1:32" ht="13.5" hidden="1" thickBot="1" x14ac:dyDescent="0.25">
      <c r="A355" s="14" t="str">
        <f t="shared" si="84"/>
        <v/>
      </c>
      <c r="B355" s="21" t="s">
        <v>476</v>
      </c>
      <c r="C355" s="15"/>
      <c r="D355" s="242"/>
      <c r="E355" s="280">
        <v>10</v>
      </c>
      <c r="F355" s="85">
        <v>900</v>
      </c>
      <c r="G355" s="85"/>
      <c r="H355" s="15" t="s">
        <v>66</v>
      </c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7">
        <f t="shared" si="85"/>
        <v>0</v>
      </c>
      <c r="T355" s="7" t="s">
        <v>493</v>
      </c>
      <c r="U355" s="66">
        <f>5.1*AF$288</f>
        <v>5.0999999999999996</v>
      </c>
      <c r="V355" s="31">
        <f t="shared" si="86"/>
        <v>0</v>
      </c>
      <c r="W355" s="35">
        <f>Rate!D$3</f>
        <v>34.5</v>
      </c>
      <c r="X355" s="110">
        <f t="shared" si="76"/>
        <v>0</v>
      </c>
      <c r="Y355" s="110">
        <f t="shared" si="77"/>
        <v>0</v>
      </c>
      <c r="Z355" s="110">
        <f t="shared" si="78"/>
        <v>0</v>
      </c>
      <c r="AA355" s="110">
        <f t="shared" si="75"/>
        <v>0</v>
      </c>
      <c r="AB355" s="110">
        <f t="shared" si="83"/>
        <v>0</v>
      </c>
      <c r="AC355" s="371" t="s">
        <v>163</v>
      </c>
      <c r="AD355" s="371" t="s">
        <v>148</v>
      </c>
      <c r="AE355" s="371" t="s">
        <v>149</v>
      </c>
      <c r="AF355" s="371"/>
    </row>
    <row r="356" spans="1:32" ht="13.5" hidden="1" thickBot="1" x14ac:dyDescent="0.25">
      <c r="A356" s="14" t="str">
        <f t="shared" si="84"/>
        <v/>
      </c>
      <c r="B356" s="21" t="s">
        <v>476</v>
      </c>
      <c r="C356" s="15"/>
      <c r="D356" s="242"/>
      <c r="E356" s="280">
        <v>12</v>
      </c>
      <c r="F356" s="85">
        <v>900</v>
      </c>
      <c r="G356" s="85"/>
      <c r="H356" s="15" t="s">
        <v>66</v>
      </c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7">
        <f t="shared" si="85"/>
        <v>0</v>
      </c>
      <c r="T356" s="7" t="s">
        <v>493</v>
      </c>
      <c r="U356" s="66">
        <f>6.3*AF$288</f>
        <v>6.3</v>
      </c>
      <c r="V356" s="31">
        <f t="shared" si="86"/>
        <v>0</v>
      </c>
      <c r="W356" s="35">
        <f>Rate!D$3</f>
        <v>34.5</v>
      </c>
      <c r="X356" s="110">
        <f t="shared" si="76"/>
        <v>0</v>
      </c>
      <c r="Y356" s="110">
        <f t="shared" si="77"/>
        <v>0</v>
      </c>
      <c r="Z356" s="110">
        <f t="shared" si="78"/>
        <v>0</v>
      </c>
      <c r="AA356" s="110">
        <f t="shared" si="75"/>
        <v>0</v>
      </c>
      <c r="AB356" s="110">
        <f t="shared" si="83"/>
        <v>0</v>
      </c>
      <c r="AC356" s="371" t="s">
        <v>163</v>
      </c>
      <c r="AD356" s="371" t="s">
        <v>148</v>
      </c>
      <c r="AE356" s="371" t="s">
        <v>149</v>
      </c>
      <c r="AF356" s="371"/>
    </row>
    <row r="357" spans="1:32" ht="13.5" hidden="1" thickBot="1" x14ac:dyDescent="0.25">
      <c r="A357" s="14" t="str">
        <f t="shared" si="84"/>
        <v/>
      </c>
      <c r="B357" s="21" t="s">
        <v>476</v>
      </c>
      <c r="C357" s="15"/>
      <c r="D357" s="242"/>
      <c r="E357" s="280">
        <v>14</v>
      </c>
      <c r="F357" s="85">
        <v>900</v>
      </c>
      <c r="G357" s="85"/>
      <c r="H357" s="15" t="s">
        <v>66</v>
      </c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7">
        <f t="shared" si="85"/>
        <v>0</v>
      </c>
      <c r="T357" s="7" t="s">
        <v>493</v>
      </c>
      <c r="U357" s="66">
        <f>7.5*AF$288</f>
        <v>7.5</v>
      </c>
      <c r="V357" s="31">
        <f t="shared" si="86"/>
        <v>0</v>
      </c>
      <c r="W357" s="35">
        <f>Rate!D$3</f>
        <v>34.5</v>
      </c>
      <c r="X357" s="110">
        <f t="shared" si="76"/>
        <v>0</v>
      </c>
      <c r="Y357" s="110">
        <f t="shared" si="77"/>
        <v>0</v>
      </c>
      <c r="Z357" s="110">
        <f t="shared" si="78"/>
        <v>0</v>
      </c>
      <c r="AA357" s="110">
        <f t="shared" ref="AA357:AA418" si="87">IF(H357="E",G357*S357*W357,0)</f>
        <v>0</v>
      </c>
      <c r="AB357" s="110">
        <f t="shared" si="83"/>
        <v>0</v>
      </c>
      <c r="AC357" s="371" t="s">
        <v>163</v>
      </c>
      <c r="AD357" s="371" t="s">
        <v>148</v>
      </c>
      <c r="AE357" s="371" t="s">
        <v>149</v>
      </c>
      <c r="AF357" s="371"/>
    </row>
    <row r="358" spans="1:32" ht="13.5" hidden="1" thickBot="1" x14ac:dyDescent="0.25">
      <c r="A358" s="14" t="str">
        <f t="shared" si="84"/>
        <v/>
      </c>
      <c r="B358" s="21" t="s">
        <v>476</v>
      </c>
      <c r="C358" s="15"/>
      <c r="D358" s="242"/>
      <c r="E358" s="280">
        <v>16</v>
      </c>
      <c r="F358" s="85">
        <v>900</v>
      </c>
      <c r="G358" s="85"/>
      <c r="H358" s="15" t="s">
        <v>66</v>
      </c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7">
        <f t="shared" si="85"/>
        <v>0</v>
      </c>
      <c r="T358" s="7" t="s">
        <v>493</v>
      </c>
      <c r="U358" s="66">
        <f>8.8*AF$288</f>
        <v>8.8000000000000007</v>
      </c>
      <c r="V358" s="31">
        <f t="shared" si="86"/>
        <v>0</v>
      </c>
      <c r="W358" s="35">
        <f>Rate!D$3</f>
        <v>34.5</v>
      </c>
      <c r="X358" s="110">
        <f t="shared" si="76"/>
        <v>0</v>
      </c>
      <c r="Y358" s="110">
        <f t="shared" si="77"/>
        <v>0</v>
      </c>
      <c r="Z358" s="110">
        <f t="shared" si="78"/>
        <v>0</v>
      </c>
      <c r="AA358" s="110">
        <f t="shared" si="87"/>
        <v>0</v>
      </c>
      <c r="AB358" s="110">
        <f t="shared" si="83"/>
        <v>0</v>
      </c>
      <c r="AC358" s="371" t="s">
        <v>163</v>
      </c>
      <c r="AD358" s="371" t="s">
        <v>148</v>
      </c>
      <c r="AE358" s="371" t="s">
        <v>149</v>
      </c>
      <c r="AF358" s="371"/>
    </row>
    <row r="359" spans="1:32" ht="13.5" hidden="1" thickBot="1" x14ac:dyDescent="0.25">
      <c r="A359" s="14" t="str">
        <f t="shared" si="84"/>
        <v/>
      </c>
      <c r="B359" s="21" t="s">
        <v>476</v>
      </c>
      <c r="C359" s="15"/>
      <c r="D359" s="242"/>
      <c r="E359" s="280">
        <v>18</v>
      </c>
      <c r="F359" s="85">
        <v>900</v>
      </c>
      <c r="G359" s="85"/>
      <c r="H359" s="15" t="s">
        <v>66</v>
      </c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7">
        <f t="shared" si="85"/>
        <v>0</v>
      </c>
      <c r="T359" s="7" t="s">
        <v>493</v>
      </c>
      <c r="U359" s="66">
        <f>10.4*AF$288</f>
        <v>10.4</v>
      </c>
      <c r="V359" s="31">
        <f t="shared" si="86"/>
        <v>0</v>
      </c>
      <c r="W359" s="35">
        <f>Rate!D$3</f>
        <v>34.5</v>
      </c>
      <c r="X359" s="110">
        <f t="shared" si="76"/>
        <v>0</v>
      </c>
      <c r="Y359" s="110">
        <f t="shared" si="77"/>
        <v>0</v>
      </c>
      <c r="Z359" s="110">
        <f t="shared" si="78"/>
        <v>0</v>
      </c>
      <c r="AA359" s="110">
        <f t="shared" si="87"/>
        <v>0</v>
      </c>
      <c r="AB359" s="110">
        <f t="shared" si="83"/>
        <v>0</v>
      </c>
      <c r="AC359" s="371" t="s">
        <v>163</v>
      </c>
      <c r="AD359" s="371" t="s">
        <v>148</v>
      </c>
      <c r="AE359" s="371" t="s">
        <v>149</v>
      </c>
      <c r="AF359" s="371"/>
    </row>
    <row r="360" spans="1:32" ht="13.5" hidden="1" thickBot="1" x14ac:dyDescent="0.25">
      <c r="A360" s="14" t="str">
        <f t="shared" si="84"/>
        <v/>
      </c>
      <c r="B360" s="21" t="s">
        <v>476</v>
      </c>
      <c r="C360" s="15"/>
      <c r="D360" s="242"/>
      <c r="E360" s="280">
        <v>20</v>
      </c>
      <c r="F360" s="85">
        <v>900</v>
      </c>
      <c r="G360" s="85"/>
      <c r="H360" s="15" t="s">
        <v>66</v>
      </c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7">
        <f t="shared" si="85"/>
        <v>0</v>
      </c>
      <c r="T360" s="7" t="s">
        <v>493</v>
      </c>
      <c r="U360" s="66">
        <f>11.9*AF$288</f>
        <v>11.9</v>
      </c>
      <c r="V360" s="31">
        <f t="shared" si="86"/>
        <v>0</v>
      </c>
      <c r="W360" s="35">
        <f>Rate!D$3</f>
        <v>34.5</v>
      </c>
      <c r="X360" s="110">
        <f t="shared" si="76"/>
        <v>0</v>
      </c>
      <c r="Y360" s="110">
        <f t="shared" si="77"/>
        <v>0</v>
      </c>
      <c r="Z360" s="110">
        <f t="shared" si="78"/>
        <v>0</v>
      </c>
      <c r="AA360" s="110">
        <f t="shared" si="87"/>
        <v>0</v>
      </c>
      <c r="AB360" s="110">
        <f t="shared" si="83"/>
        <v>0</v>
      </c>
      <c r="AC360" s="371" t="s">
        <v>163</v>
      </c>
      <c r="AD360" s="371" t="s">
        <v>148</v>
      </c>
      <c r="AE360" s="371" t="s">
        <v>149</v>
      </c>
      <c r="AF360" s="371"/>
    </row>
    <row r="361" spans="1:32" ht="13.5" hidden="1" thickBot="1" x14ac:dyDescent="0.25">
      <c r="A361" s="14" t="str">
        <f t="shared" si="84"/>
        <v/>
      </c>
      <c r="B361" s="21" t="s">
        <v>476</v>
      </c>
      <c r="C361" s="15"/>
      <c r="D361" s="242"/>
      <c r="E361" s="280">
        <v>24</v>
      </c>
      <c r="F361" s="85">
        <v>900</v>
      </c>
      <c r="G361" s="85"/>
      <c r="H361" s="15" t="s">
        <v>66</v>
      </c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7">
        <f t="shared" si="85"/>
        <v>0</v>
      </c>
      <c r="T361" s="7" t="s">
        <v>493</v>
      </c>
      <c r="U361" s="66">
        <f>13.6*AF$288</f>
        <v>13.6</v>
      </c>
      <c r="V361" s="31">
        <f t="shared" si="86"/>
        <v>0</v>
      </c>
      <c r="W361" s="35">
        <f>Rate!D$3</f>
        <v>34.5</v>
      </c>
      <c r="X361" s="110">
        <f t="shared" si="76"/>
        <v>0</v>
      </c>
      <c r="Y361" s="110">
        <f t="shared" si="77"/>
        <v>0</v>
      </c>
      <c r="Z361" s="110">
        <f t="shared" si="78"/>
        <v>0</v>
      </c>
      <c r="AA361" s="110">
        <f t="shared" si="87"/>
        <v>0</v>
      </c>
      <c r="AB361" s="110">
        <f t="shared" si="83"/>
        <v>0</v>
      </c>
      <c r="AC361" s="371" t="s">
        <v>163</v>
      </c>
      <c r="AD361" s="371" t="s">
        <v>148</v>
      </c>
      <c r="AE361" s="371" t="s">
        <v>149</v>
      </c>
      <c r="AF361" s="371"/>
    </row>
    <row r="362" spans="1:32" ht="13.5" hidden="1" thickBot="1" x14ac:dyDescent="0.25">
      <c r="A362" s="14" t="str">
        <f t="shared" si="84"/>
        <v/>
      </c>
      <c r="B362" s="21" t="s">
        <v>476</v>
      </c>
      <c r="C362" s="15"/>
      <c r="D362" s="242"/>
      <c r="E362" s="280">
        <v>30</v>
      </c>
      <c r="F362" s="85">
        <v>900</v>
      </c>
      <c r="G362" s="85"/>
      <c r="H362" s="15" t="s">
        <v>66</v>
      </c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7">
        <f t="shared" si="85"/>
        <v>0</v>
      </c>
      <c r="T362" s="7" t="s">
        <v>493</v>
      </c>
      <c r="U362" s="66">
        <f>15.5*AF$288</f>
        <v>15.5</v>
      </c>
      <c r="V362" s="31">
        <f t="shared" si="86"/>
        <v>0</v>
      </c>
      <c r="W362" s="35">
        <f>Rate!D$3</f>
        <v>34.5</v>
      </c>
      <c r="X362" s="110">
        <f t="shared" si="76"/>
        <v>0</v>
      </c>
      <c r="Y362" s="110">
        <f t="shared" si="77"/>
        <v>0</v>
      </c>
      <c r="Z362" s="110">
        <f t="shared" si="78"/>
        <v>0</v>
      </c>
      <c r="AA362" s="110">
        <f t="shared" si="87"/>
        <v>0</v>
      </c>
      <c r="AB362" s="110">
        <f t="shared" si="83"/>
        <v>0</v>
      </c>
      <c r="AC362" s="371" t="s">
        <v>163</v>
      </c>
      <c r="AD362" s="371" t="s">
        <v>148</v>
      </c>
      <c r="AE362" s="371" t="s">
        <v>149</v>
      </c>
      <c r="AF362" s="371"/>
    </row>
    <row r="363" spans="1:32" ht="13.5" hidden="1" thickBot="1" x14ac:dyDescent="0.25">
      <c r="A363" s="14" t="str">
        <f t="shared" si="84"/>
        <v/>
      </c>
      <c r="B363" s="21" t="s">
        <v>476</v>
      </c>
      <c r="C363" s="15"/>
      <c r="D363" s="242"/>
      <c r="E363" s="280">
        <v>36</v>
      </c>
      <c r="F363" s="85">
        <v>900</v>
      </c>
      <c r="G363" s="85"/>
      <c r="H363" s="15" t="s">
        <v>66</v>
      </c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7">
        <f t="shared" si="85"/>
        <v>0</v>
      </c>
      <c r="T363" s="7" t="s">
        <v>493</v>
      </c>
      <c r="U363" s="66">
        <f>17.4*AF$288</f>
        <v>17.399999999999999</v>
      </c>
      <c r="V363" s="31">
        <f t="shared" si="86"/>
        <v>0</v>
      </c>
      <c r="W363" s="35">
        <f>Rate!D$3</f>
        <v>34.5</v>
      </c>
      <c r="X363" s="110">
        <f t="shared" si="76"/>
        <v>0</v>
      </c>
      <c r="Y363" s="110">
        <f t="shared" si="77"/>
        <v>0</v>
      </c>
      <c r="Z363" s="110">
        <f t="shared" si="78"/>
        <v>0</v>
      </c>
      <c r="AA363" s="110">
        <f t="shared" si="87"/>
        <v>0</v>
      </c>
      <c r="AB363" s="110">
        <f t="shared" si="83"/>
        <v>0</v>
      </c>
      <c r="AC363" s="371" t="s">
        <v>163</v>
      </c>
      <c r="AD363" s="371" t="s">
        <v>148</v>
      </c>
      <c r="AE363" s="371" t="s">
        <v>149</v>
      </c>
      <c r="AF363" s="371"/>
    </row>
    <row r="364" spans="1:32" ht="13.5" hidden="1" thickBot="1" x14ac:dyDescent="0.25">
      <c r="A364" s="14" t="str">
        <f t="shared" si="84"/>
        <v/>
      </c>
      <c r="B364" s="21" t="s">
        <v>476</v>
      </c>
      <c r="C364" s="15"/>
      <c r="D364" s="242"/>
      <c r="E364" s="280">
        <v>48</v>
      </c>
      <c r="F364" s="85">
        <v>900</v>
      </c>
      <c r="G364" s="85"/>
      <c r="H364" s="15" t="s">
        <v>66</v>
      </c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7">
        <f t="shared" si="85"/>
        <v>0</v>
      </c>
      <c r="T364" s="7" t="s">
        <v>493</v>
      </c>
      <c r="U364" s="66">
        <f>20.8*AF$288</f>
        <v>20.8</v>
      </c>
      <c r="V364" s="31">
        <f t="shared" si="86"/>
        <v>0</v>
      </c>
      <c r="W364" s="35">
        <f>Rate!D$3</f>
        <v>34.5</v>
      </c>
      <c r="X364" s="110">
        <f t="shared" si="76"/>
        <v>0</v>
      </c>
      <c r="Y364" s="110">
        <f t="shared" si="77"/>
        <v>0</v>
      </c>
      <c r="Z364" s="110">
        <f t="shared" si="78"/>
        <v>0</v>
      </c>
      <c r="AA364" s="110">
        <f t="shared" si="87"/>
        <v>0</v>
      </c>
      <c r="AB364" s="110">
        <f>SUM(X364:AA364)</f>
        <v>0</v>
      </c>
      <c r="AC364" s="371" t="s">
        <v>163</v>
      </c>
      <c r="AD364" s="371" t="s">
        <v>148</v>
      </c>
      <c r="AE364" s="371" t="s">
        <v>149</v>
      </c>
      <c r="AF364" s="371"/>
    </row>
    <row r="365" spans="1:32" ht="13.5" hidden="1" thickBot="1" x14ac:dyDescent="0.25">
      <c r="A365" s="14" t="str">
        <f t="shared" si="84"/>
        <v/>
      </c>
      <c r="B365" s="21" t="s">
        <v>476</v>
      </c>
      <c r="C365" s="15"/>
      <c r="D365" s="242"/>
      <c r="E365" s="280">
        <v>0.5</v>
      </c>
      <c r="F365" s="85">
        <v>1500</v>
      </c>
      <c r="G365" s="85"/>
      <c r="H365" s="15" t="s">
        <v>66</v>
      </c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7">
        <f t="shared" si="85"/>
        <v>0</v>
      </c>
      <c r="T365" s="7" t="s">
        <v>493</v>
      </c>
      <c r="U365" s="66">
        <f>0.4*AF$288</f>
        <v>0.4</v>
      </c>
      <c r="V365" s="31">
        <f t="shared" si="86"/>
        <v>0</v>
      </c>
      <c r="W365" s="35">
        <f>Rate!D$3</f>
        <v>34.5</v>
      </c>
      <c r="X365" s="110">
        <f t="shared" si="76"/>
        <v>0</v>
      </c>
      <c r="Y365" s="110">
        <f t="shared" si="77"/>
        <v>0</v>
      </c>
      <c r="Z365" s="110">
        <f t="shared" si="78"/>
        <v>0</v>
      </c>
      <c r="AA365" s="110">
        <f t="shared" si="87"/>
        <v>0</v>
      </c>
      <c r="AB365" s="110">
        <f>SUM(X365:AA365)</f>
        <v>0</v>
      </c>
      <c r="AC365" s="371" t="s">
        <v>163</v>
      </c>
      <c r="AD365" s="371" t="s">
        <v>148</v>
      </c>
      <c r="AE365" s="371" t="s">
        <v>149</v>
      </c>
      <c r="AF365" s="371"/>
    </row>
    <row r="366" spans="1:32" ht="13.5" hidden="1" thickBot="1" x14ac:dyDescent="0.25">
      <c r="A366" s="14" t="str">
        <f t="shared" si="84"/>
        <v/>
      </c>
      <c r="B366" s="21" t="s">
        <v>476</v>
      </c>
      <c r="C366" s="15"/>
      <c r="D366" s="242"/>
      <c r="E366" s="280">
        <v>0.75</v>
      </c>
      <c r="F366" s="85">
        <v>1500</v>
      </c>
      <c r="G366" s="85"/>
      <c r="H366" s="15" t="s">
        <v>66</v>
      </c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7">
        <f t="shared" ref="S366:S381" si="88">SUM(I366:R366)</f>
        <v>0</v>
      </c>
      <c r="T366" s="7" t="s">
        <v>493</v>
      </c>
      <c r="U366" s="66">
        <f>0.6*AF$288</f>
        <v>0.6</v>
      </c>
      <c r="V366" s="31">
        <f t="shared" si="86"/>
        <v>0</v>
      </c>
      <c r="W366" s="35">
        <f>Rate!D$3</f>
        <v>34.5</v>
      </c>
      <c r="X366" s="110">
        <f t="shared" si="76"/>
        <v>0</v>
      </c>
      <c r="Y366" s="110">
        <f t="shared" si="77"/>
        <v>0</v>
      </c>
      <c r="Z366" s="110">
        <f t="shared" si="78"/>
        <v>0</v>
      </c>
      <c r="AA366" s="110">
        <f t="shared" si="87"/>
        <v>0</v>
      </c>
      <c r="AB366" s="110">
        <f t="shared" ref="AB366:AB380" si="89">SUM(X366:AA366)</f>
        <v>0</v>
      </c>
      <c r="AC366" s="371" t="s">
        <v>163</v>
      </c>
      <c r="AD366" s="371" t="s">
        <v>148</v>
      </c>
      <c r="AE366" s="371" t="s">
        <v>149</v>
      </c>
      <c r="AF366" s="371"/>
    </row>
    <row r="367" spans="1:32" ht="13.5" hidden="1" thickBot="1" x14ac:dyDescent="0.25">
      <c r="A367" s="14" t="str">
        <f t="shared" si="84"/>
        <v/>
      </c>
      <c r="B367" s="21" t="s">
        <v>476</v>
      </c>
      <c r="C367" s="15"/>
      <c r="D367" s="242"/>
      <c r="E367" s="280">
        <v>1</v>
      </c>
      <c r="F367" s="85">
        <v>1500</v>
      </c>
      <c r="G367" s="85"/>
      <c r="H367" s="15" t="s">
        <v>66</v>
      </c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7">
        <f t="shared" si="88"/>
        <v>0</v>
      </c>
      <c r="T367" s="7" t="s">
        <v>493</v>
      </c>
      <c r="U367" s="66">
        <f>0.6*AF$288</f>
        <v>0.6</v>
      </c>
      <c r="V367" s="31">
        <f t="shared" si="86"/>
        <v>0</v>
      </c>
      <c r="W367" s="35">
        <f>Rate!D$3</f>
        <v>34.5</v>
      </c>
      <c r="X367" s="110">
        <f t="shared" si="76"/>
        <v>0</v>
      </c>
      <c r="Y367" s="110">
        <f t="shared" si="77"/>
        <v>0</v>
      </c>
      <c r="Z367" s="110">
        <f t="shared" si="78"/>
        <v>0</v>
      </c>
      <c r="AA367" s="110">
        <f t="shared" si="87"/>
        <v>0</v>
      </c>
      <c r="AB367" s="110">
        <f t="shared" si="89"/>
        <v>0</v>
      </c>
      <c r="AC367" s="371" t="s">
        <v>163</v>
      </c>
      <c r="AD367" s="371" t="s">
        <v>148</v>
      </c>
      <c r="AE367" s="371" t="s">
        <v>149</v>
      </c>
      <c r="AF367" s="371"/>
    </row>
    <row r="368" spans="1:32" ht="13.5" hidden="1" thickBot="1" x14ac:dyDescent="0.25">
      <c r="A368" s="14" t="str">
        <f t="shared" si="84"/>
        <v/>
      </c>
      <c r="B368" s="21" t="s">
        <v>476</v>
      </c>
      <c r="C368" s="15"/>
      <c r="D368" s="242"/>
      <c r="E368" s="280">
        <v>1.5</v>
      </c>
      <c r="F368" s="85">
        <v>1500</v>
      </c>
      <c r="G368" s="85"/>
      <c r="H368" s="15" t="s">
        <v>66</v>
      </c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7">
        <f t="shared" si="88"/>
        <v>0</v>
      </c>
      <c r="T368" s="7" t="s">
        <v>493</v>
      </c>
      <c r="U368" s="66">
        <f>1.2*AF$288</f>
        <v>1.2</v>
      </c>
      <c r="V368" s="31">
        <f t="shared" si="86"/>
        <v>0</v>
      </c>
      <c r="W368" s="35">
        <f>Rate!D$3</f>
        <v>34.5</v>
      </c>
      <c r="X368" s="110">
        <f t="shared" si="76"/>
        <v>0</v>
      </c>
      <c r="Y368" s="110">
        <f t="shared" si="77"/>
        <v>0</v>
      </c>
      <c r="Z368" s="110">
        <f t="shared" si="78"/>
        <v>0</v>
      </c>
      <c r="AA368" s="110">
        <f t="shared" si="87"/>
        <v>0</v>
      </c>
      <c r="AB368" s="110">
        <f t="shared" si="89"/>
        <v>0</v>
      </c>
      <c r="AC368" s="371" t="s">
        <v>163</v>
      </c>
      <c r="AD368" s="371" t="s">
        <v>148</v>
      </c>
      <c r="AE368" s="371" t="s">
        <v>149</v>
      </c>
      <c r="AF368" s="371"/>
    </row>
    <row r="369" spans="1:32" ht="13.5" hidden="1" thickBot="1" x14ac:dyDescent="0.25">
      <c r="A369" s="14" t="str">
        <f t="shared" si="84"/>
        <v/>
      </c>
      <c r="B369" s="21" t="s">
        <v>476</v>
      </c>
      <c r="C369" s="15"/>
      <c r="D369" s="242"/>
      <c r="E369" s="280">
        <v>2</v>
      </c>
      <c r="F369" s="85">
        <v>1500</v>
      </c>
      <c r="G369" s="85"/>
      <c r="H369" s="15" t="s">
        <v>66</v>
      </c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7">
        <f t="shared" si="88"/>
        <v>0</v>
      </c>
      <c r="T369" s="7" t="s">
        <v>493</v>
      </c>
      <c r="U369" s="66">
        <f>1.5*AF$288</f>
        <v>1.5</v>
      </c>
      <c r="V369" s="31">
        <f t="shared" si="86"/>
        <v>0</v>
      </c>
      <c r="W369" s="35">
        <f>Rate!D$3</f>
        <v>34.5</v>
      </c>
      <c r="X369" s="110">
        <f t="shared" si="76"/>
        <v>0</v>
      </c>
      <c r="Y369" s="110">
        <f t="shared" si="77"/>
        <v>0</v>
      </c>
      <c r="Z369" s="110">
        <f t="shared" si="78"/>
        <v>0</v>
      </c>
      <c r="AA369" s="110">
        <f t="shared" si="87"/>
        <v>0</v>
      </c>
      <c r="AB369" s="110">
        <f t="shared" si="89"/>
        <v>0</v>
      </c>
      <c r="AC369" s="371" t="s">
        <v>163</v>
      </c>
      <c r="AD369" s="371" t="s">
        <v>148</v>
      </c>
      <c r="AE369" s="371" t="s">
        <v>149</v>
      </c>
      <c r="AF369" s="371"/>
    </row>
    <row r="370" spans="1:32" ht="13.5" hidden="1" thickBot="1" x14ac:dyDescent="0.25">
      <c r="A370" s="14" t="str">
        <f t="shared" si="84"/>
        <v/>
      </c>
      <c r="B370" s="21" t="s">
        <v>476</v>
      </c>
      <c r="C370" s="15"/>
      <c r="D370" s="242"/>
      <c r="E370" s="280">
        <v>3</v>
      </c>
      <c r="F370" s="85">
        <v>1500</v>
      </c>
      <c r="G370" s="85"/>
      <c r="H370" s="15" t="s">
        <v>66</v>
      </c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7">
        <f t="shared" si="88"/>
        <v>0</v>
      </c>
      <c r="T370" s="7" t="s">
        <v>493</v>
      </c>
      <c r="U370" s="66">
        <f>2.4*AF$288</f>
        <v>2.4</v>
      </c>
      <c r="V370" s="31">
        <f t="shared" si="86"/>
        <v>0</v>
      </c>
      <c r="W370" s="35">
        <f>Rate!D$3</f>
        <v>34.5</v>
      </c>
      <c r="X370" s="110">
        <f t="shared" si="76"/>
        <v>0</v>
      </c>
      <c r="Y370" s="110">
        <f t="shared" si="77"/>
        <v>0</v>
      </c>
      <c r="Z370" s="110">
        <f t="shared" si="78"/>
        <v>0</v>
      </c>
      <c r="AA370" s="110">
        <f t="shared" si="87"/>
        <v>0</v>
      </c>
      <c r="AB370" s="110">
        <f t="shared" si="89"/>
        <v>0</v>
      </c>
      <c r="AC370" s="371" t="s">
        <v>163</v>
      </c>
      <c r="AD370" s="371" t="s">
        <v>148</v>
      </c>
      <c r="AE370" s="371" t="s">
        <v>149</v>
      </c>
      <c r="AF370" s="371"/>
    </row>
    <row r="371" spans="1:32" ht="13.5" hidden="1" thickBot="1" x14ac:dyDescent="0.25">
      <c r="A371" s="14" t="str">
        <f t="shared" si="84"/>
        <v/>
      </c>
      <c r="B371" s="21" t="s">
        <v>476</v>
      </c>
      <c r="C371" s="15"/>
      <c r="D371" s="242"/>
      <c r="E371" s="280">
        <v>4</v>
      </c>
      <c r="F371" s="85">
        <v>1500</v>
      </c>
      <c r="G371" s="85"/>
      <c r="H371" s="15" t="s">
        <v>66</v>
      </c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7">
        <f t="shared" si="88"/>
        <v>0</v>
      </c>
      <c r="T371" s="7" t="s">
        <v>493</v>
      </c>
      <c r="U371" s="66">
        <f>3.1*AF$288</f>
        <v>3.1</v>
      </c>
      <c r="V371" s="31">
        <f t="shared" si="86"/>
        <v>0</v>
      </c>
      <c r="W371" s="35">
        <f>Rate!D$3</f>
        <v>34.5</v>
      </c>
      <c r="X371" s="110">
        <f t="shared" si="76"/>
        <v>0</v>
      </c>
      <c r="Y371" s="110">
        <f t="shared" si="77"/>
        <v>0</v>
      </c>
      <c r="Z371" s="110">
        <f t="shared" si="78"/>
        <v>0</v>
      </c>
      <c r="AA371" s="110">
        <f t="shared" si="87"/>
        <v>0</v>
      </c>
      <c r="AB371" s="110">
        <f t="shared" si="89"/>
        <v>0</v>
      </c>
      <c r="AC371" s="371" t="s">
        <v>163</v>
      </c>
      <c r="AD371" s="371" t="s">
        <v>148</v>
      </c>
      <c r="AE371" s="371" t="s">
        <v>149</v>
      </c>
      <c r="AF371" s="371"/>
    </row>
    <row r="372" spans="1:32" ht="13.5" hidden="1" thickBot="1" x14ac:dyDescent="0.25">
      <c r="A372" s="14" t="str">
        <f t="shared" si="84"/>
        <v/>
      </c>
      <c r="B372" s="21" t="s">
        <v>476</v>
      </c>
      <c r="C372" s="15"/>
      <c r="D372" s="242"/>
      <c r="E372" s="280">
        <v>6</v>
      </c>
      <c r="F372" s="85">
        <v>1500</v>
      </c>
      <c r="G372" s="85"/>
      <c r="H372" s="15" t="s">
        <v>66</v>
      </c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7">
        <f t="shared" si="88"/>
        <v>0</v>
      </c>
      <c r="T372" s="7" t="s">
        <v>493</v>
      </c>
      <c r="U372" s="66">
        <f>4.1*AF$288</f>
        <v>4.0999999999999996</v>
      </c>
      <c r="V372" s="31">
        <f t="shared" si="86"/>
        <v>0</v>
      </c>
      <c r="W372" s="35">
        <f>Rate!D$3</f>
        <v>34.5</v>
      </c>
      <c r="X372" s="110">
        <f t="shared" si="76"/>
        <v>0</v>
      </c>
      <c r="Y372" s="110">
        <f t="shared" si="77"/>
        <v>0</v>
      </c>
      <c r="Z372" s="110">
        <f t="shared" si="78"/>
        <v>0</v>
      </c>
      <c r="AA372" s="110">
        <f t="shared" si="87"/>
        <v>0</v>
      </c>
      <c r="AB372" s="110">
        <f t="shared" si="89"/>
        <v>0</v>
      </c>
      <c r="AC372" s="371" t="s">
        <v>163</v>
      </c>
      <c r="AD372" s="371" t="s">
        <v>148</v>
      </c>
      <c r="AE372" s="371" t="s">
        <v>149</v>
      </c>
      <c r="AF372" s="371"/>
    </row>
    <row r="373" spans="1:32" ht="13.5" hidden="1" thickBot="1" x14ac:dyDescent="0.25">
      <c r="A373" s="14" t="str">
        <f t="shared" si="84"/>
        <v/>
      </c>
      <c r="B373" s="21" t="s">
        <v>476</v>
      </c>
      <c r="C373" s="15"/>
      <c r="D373" s="242"/>
      <c r="E373" s="280">
        <v>8</v>
      </c>
      <c r="F373" s="85">
        <v>1500</v>
      </c>
      <c r="G373" s="85"/>
      <c r="H373" s="15" t="s">
        <v>66</v>
      </c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7">
        <f t="shared" si="88"/>
        <v>0</v>
      </c>
      <c r="T373" s="7" t="s">
        <v>493</v>
      </c>
      <c r="U373" s="66">
        <f>5.3*AF$288</f>
        <v>5.3</v>
      </c>
      <c r="V373" s="31">
        <f t="shared" si="86"/>
        <v>0</v>
      </c>
      <c r="W373" s="35">
        <f>Rate!D$3</f>
        <v>34.5</v>
      </c>
      <c r="X373" s="110">
        <f t="shared" si="76"/>
        <v>0</v>
      </c>
      <c r="Y373" s="110">
        <f t="shared" si="77"/>
        <v>0</v>
      </c>
      <c r="Z373" s="110">
        <f t="shared" si="78"/>
        <v>0</v>
      </c>
      <c r="AA373" s="110">
        <f t="shared" si="87"/>
        <v>0</v>
      </c>
      <c r="AB373" s="110">
        <f t="shared" si="89"/>
        <v>0</v>
      </c>
      <c r="AC373" s="371" t="s">
        <v>163</v>
      </c>
      <c r="AD373" s="371" t="s">
        <v>148</v>
      </c>
      <c r="AE373" s="371" t="s">
        <v>149</v>
      </c>
      <c r="AF373" s="371"/>
    </row>
    <row r="374" spans="1:32" ht="13.5" hidden="1" thickBot="1" x14ac:dyDescent="0.25">
      <c r="A374" s="14" t="str">
        <f t="shared" si="84"/>
        <v/>
      </c>
      <c r="B374" s="21" t="s">
        <v>476</v>
      </c>
      <c r="C374" s="15"/>
      <c r="D374" s="242"/>
      <c r="E374" s="280">
        <v>10</v>
      </c>
      <c r="F374" s="85">
        <v>1500</v>
      </c>
      <c r="G374" s="85"/>
      <c r="H374" s="15" t="s">
        <v>66</v>
      </c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7">
        <f t="shared" si="88"/>
        <v>0</v>
      </c>
      <c r="T374" s="7" t="s">
        <v>493</v>
      </c>
      <c r="U374" s="66">
        <f>6.8*AF$288</f>
        <v>6.8</v>
      </c>
      <c r="V374" s="31">
        <f t="shared" si="86"/>
        <v>0</v>
      </c>
      <c r="W374" s="35">
        <f>Rate!D$3</f>
        <v>34.5</v>
      </c>
      <c r="X374" s="110">
        <f t="shared" si="76"/>
        <v>0</v>
      </c>
      <c r="Y374" s="110">
        <f t="shared" si="77"/>
        <v>0</v>
      </c>
      <c r="Z374" s="110">
        <f t="shared" si="78"/>
        <v>0</v>
      </c>
      <c r="AA374" s="110">
        <f t="shared" si="87"/>
        <v>0</v>
      </c>
      <c r="AB374" s="110">
        <f t="shared" si="89"/>
        <v>0</v>
      </c>
      <c r="AC374" s="371" t="s">
        <v>163</v>
      </c>
      <c r="AD374" s="371" t="s">
        <v>148</v>
      </c>
      <c r="AE374" s="371" t="s">
        <v>149</v>
      </c>
      <c r="AF374" s="371"/>
    </row>
    <row r="375" spans="1:32" ht="13.5" hidden="1" thickBot="1" x14ac:dyDescent="0.25">
      <c r="A375" s="14" t="str">
        <f t="shared" si="84"/>
        <v/>
      </c>
      <c r="B375" s="21" t="s">
        <v>476</v>
      </c>
      <c r="C375" s="15"/>
      <c r="D375" s="242"/>
      <c r="E375" s="280">
        <v>12</v>
      </c>
      <c r="F375" s="85">
        <v>1500</v>
      </c>
      <c r="G375" s="85"/>
      <c r="H375" s="15" t="s">
        <v>66</v>
      </c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7">
        <f t="shared" si="88"/>
        <v>0</v>
      </c>
      <c r="T375" s="7" t="s">
        <v>493</v>
      </c>
      <c r="U375" s="66">
        <f>8.5*AF$288</f>
        <v>8.5</v>
      </c>
      <c r="V375" s="31">
        <f t="shared" si="86"/>
        <v>0</v>
      </c>
      <c r="W375" s="35">
        <f>Rate!D$3</f>
        <v>34.5</v>
      </c>
      <c r="X375" s="110">
        <f t="shared" si="76"/>
        <v>0</v>
      </c>
      <c r="Y375" s="110">
        <f t="shared" si="77"/>
        <v>0</v>
      </c>
      <c r="Z375" s="110">
        <f t="shared" si="78"/>
        <v>0</v>
      </c>
      <c r="AA375" s="110">
        <f t="shared" si="87"/>
        <v>0</v>
      </c>
      <c r="AB375" s="110">
        <f t="shared" si="89"/>
        <v>0</v>
      </c>
      <c r="AC375" s="371" t="s">
        <v>163</v>
      </c>
      <c r="AD375" s="371" t="s">
        <v>148</v>
      </c>
      <c r="AE375" s="371" t="s">
        <v>149</v>
      </c>
      <c r="AF375" s="371"/>
    </row>
    <row r="376" spans="1:32" ht="13.5" hidden="1" thickBot="1" x14ac:dyDescent="0.25">
      <c r="A376" s="14" t="str">
        <f t="shared" si="84"/>
        <v/>
      </c>
      <c r="B376" s="21" t="s">
        <v>476</v>
      </c>
      <c r="C376" s="15"/>
      <c r="D376" s="242"/>
      <c r="E376" s="280">
        <v>14</v>
      </c>
      <c r="F376" s="85">
        <v>1500</v>
      </c>
      <c r="G376" s="85"/>
      <c r="H376" s="15" t="s">
        <v>66</v>
      </c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7">
        <f t="shared" si="88"/>
        <v>0</v>
      </c>
      <c r="T376" s="7" t="s">
        <v>493</v>
      </c>
      <c r="U376" s="66">
        <f>10.5*AF$288</f>
        <v>10.5</v>
      </c>
      <c r="V376" s="31">
        <f t="shared" si="86"/>
        <v>0</v>
      </c>
      <c r="W376" s="35">
        <f>Rate!D$3</f>
        <v>34.5</v>
      </c>
      <c r="X376" s="110">
        <f t="shared" si="76"/>
        <v>0</v>
      </c>
      <c r="Y376" s="110">
        <f t="shared" si="77"/>
        <v>0</v>
      </c>
      <c r="Z376" s="110">
        <f t="shared" si="78"/>
        <v>0</v>
      </c>
      <c r="AA376" s="110">
        <f t="shared" si="87"/>
        <v>0</v>
      </c>
      <c r="AB376" s="110">
        <f t="shared" si="89"/>
        <v>0</v>
      </c>
      <c r="AC376" s="371" t="s">
        <v>163</v>
      </c>
      <c r="AD376" s="371" t="s">
        <v>148</v>
      </c>
      <c r="AE376" s="371" t="s">
        <v>149</v>
      </c>
      <c r="AF376" s="371"/>
    </row>
    <row r="377" spans="1:32" ht="13.5" hidden="1" thickBot="1" x14ac:dyDescent="0.25">
      <c r="A377" s="14" t="str">
        <f t="shared" si="84"/>
        <v/>
      </c>
      <c r="B377" s="21" t="s">
        <v>476</v>
      </c>
      <c r="C377" s="15"/>
      <c r="D377" s="242"/>
      <c r="E377" s="280">
        <v>16</v>
      </c>
      <c r="F377" s="85">
        <v>1500</v>
      </c>
      <c r="G377" s="85"/>
      <c r="H377" s="15" t="s">
        <v>66</v>
      </c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7">
        <f t="shared" si="88"/>
        <v>0</v>
      </c>
      <c r="T377" s="7" t="s">
        <v>493</v>
      </c>
      <c r="U377" s="66">
        <f>12.7*AF$288</f>
        <v>12.7</v>
      </c>
      <c r="V377" s="31">
        <f t="shared" si="86"/>
        <v>0</v>
      </c>
      <c r="W377" s="35">
        <f>Rate!D$3</f>
        <v>34.5</v>
      </c>
      <c r="X377" s="110">
        <f t="shared" si="76"/>
        <v>0</v>
      </c>
      <c r="Y377" s="110">
        <f t="shared" si="77"/>
        <v>0</v>
      </c>
      <c r="Z377" s="110">
        <f t="shared" si="78"/>
        <v>0</v>
      </c>
      <c r="AA377" s="110">
        <f t="shared" si="87"/>
        <v>0</v>
      </c>
      <c r="AB377" s="110">
        <f t="shared" si="89"/>
        <v>0</v>
      </c>
      <c r="AC377" s="371" t="s">
        <v>163</v>
      </c>
      <c r="AD377" s="371" t="s">
        <v>148</v>
      </c>
      <c r="AE377" s="371" t="s">
        <v>149</v>
      </c>
      <c r="AF377" s="371"/>
    </row>
    <row r="378" spans="1:32" ht="13.5" hidden="1" thickBot="1" x14ac:dyDescent="0.25">
      <c r="A378" s="14" t="str">
        <f t="shared" si="84"/>
        <v/>
      </c>
      <c r="B378" s="21" t="s">
        <v>476</v>
      </c>
      <c r="C378" s="15"/>
      <c r="D378" s="242"/>
      <c r="E378" s="280">
        <v>18</v>
      </c>
      <c r="F378" s="85">
        <v>1500</v>
      </c>
      <c r="G378" s="85"/>
      <c r="H378" s="15" t="s">
        <v>66</v>
      </c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7">
        <f t="shared" si="88"/>
        <v>0</v>
      </c>
      <c r="T378" s="7" t="s">
        <v>493</v>
      </c>
      <c r="U378" s="66">
        <f>15.1*AF$288</f>
        <v>15.1</v>
      </c>
      <c r="V378" s="31">
        <f t="shared" si="86"/>
        <v>0</v>
      </c>
      <c r="W378" s="35">
        <f>Rate!D$3</f>
        <v>34.5</v>
      </c>
      <c r="X378" s="110">
        <f t="shared" si="76"/>
        <v>0</v>
      </c>
      <c r="Y378" s="110">
        <f t="shared" si="77"/>
        <v>0</v>
      </c>
      <c r="Z378" s="110">
        <f t="shared" si="78"/>
        <v>0</v>
      </c>
      <c r="AA378" s="110">
        <f t="shared" si="87"/>
        <v>0</v>
      </c>
      <c r="AB378" s="110">
        <f t="shared" si="89"/>
        <v>0</v>
      </c>
      <c r="AC378" s="371" t="s">
        <v>163</v>
      </c>
      <c r="AD378" s="371" t="s">
        <v>148</v>
      </c>
      <c r="AE378" s="371" t="s">
        <v>149</v>
      </c>
      <c r="AF378" s="371"/>
    </row>
    <row r="379" spans="1:32" ht="13.5" hidden="1" thickBot="1" x14ac:dyDescent="0.25">
      <c r="A379" s="14" t="str">
        <f t="shared" si="84"/>
        <v/>
      </c>
      <c r="B379" s="21" t="s">
        <v>476</v>
      </c>
      <c r="C379" s="15"/>
      <c r="D379" s="242"/>
      <c r="E379" s="280">
        <v>20</v>
      </c>
      <c r="F379" s="85">
        <v>1500</v>
      </c>
      <c r="G379" s="85"/>
      <c r="H379" s="15" t="s">
        <v>66</v>
      </c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7">
        <f t="shared" si="88"/>
        <v>0</v>
      </c>
      <c r="T379" s="7" t="s">
        <v>493</v>
      </c>
      <c r="U379" s="66">
        <f>17.9*AF$288</f>
        <v>17.899999999999999</v>
      </c>
      <c r="V379" s="31">
        <f t="shared" si="86"/>
        <v>0</v>
      </c>
      <c r="W379" s="35">
        <f>Rate!D$3</f>
        <v>34.5</v>
      </c>
      <c r="X379" s="110">
        <f t="shared" si="76"/>
        <v>0</v>
      </c>
      <c r="Y379" s="110">
        <f t="shared" si="77"/>
        <v>0</v>
      </c>
      <c r="Z379" s="110">
        <f t="shared" si="78"/>
        <v>0</v>
      </c>
      <c r="AA379" s="110">
        <f t="shared" si="87"/>
        <v>0</v>
      </c>
      <c r="AB379" s="110">
        <f t="shared" si="89"/>
        <v>0</v>
      </c>
      <c r="AC379" s="371" t="s">
        <v>163</v>
      </c>
      <c r="AD379" s="371" t="s">
        <v>148</v>
      </c>
      <c r="AE379" s="371" t="s">
        <v>149</v>
      </c>
      <c r="AF379" s="371"/>
    </row>
    <row r="380" spans="1:32" ht="13.5" hidden="1" thickBot="1" x14ac:dyDescent="0.25">
      <c r="A380" s="14" t="str">
        <f t="shared" si="84"/>
        <v/>
      </c>
      <c r="B380" s="21" t="s">
        <v>476</v>
      </c>
      <c r="C380" s="15"/>
      <c r="D380" s="242"/>
      <c r="E380" s="280">
        <v>24</v>
      </c>
      <c r="F380" s="85">
        <v>1500</v>
      </c>
      <c r="G380" s="85"/>
      <c r="H380" s="15" t="s">
        <v>66</v>
      </c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7">
        <f t="shared" si="88"/>
        <v>0</v>
      </c>
      <c r="T380" s="7" t="s">
        <v>493</v>
      </c>
      <c r="U380" s="66">
        <f>20.7*AF$288</f>
        <v>20.7</v>
      </c>
      <c r="V380" s="31">
        <f t="shared" si="86"/>
        <v>0</v>
      </c>
      <c r="W380" s="35">
        <f>Rate!D$3</f>
        <v>34.5</v>
      </c>
      <c r="X380" s="110">
        <f t="shared" si="76"/>
        <v>0</v>
      </c>
      <c r="Y380" s="110">
        <f t="shared" si="77"/>
        <v>0</v>
      </c>
      <c r="Z380" s="110">
        <f t="shared" si="78"/>
        <v>0</v>
      </c>
      <c r="AA380" s="110">
        <f t="shared" si="87"/>
        <v>0</v>
      </c>
      <c r="AB380" s="110">
        <f t="shared" si="89"/>
        <v>0</v>
      </c>
      <c r="AC380" s="371" t="s">
        <v>163</v>
      </c>
      <c r="AD380" s="371" t="s">
        <v>148</v>
      </c>
      <c r="AE380" s="371" t="s">
        <v>149</v>
      </c>
      <c r="AF380" s="371"/>
    </row>
    <row r="381" spans="1:32" ht="13.5" hidden="1" thickBot="1" x14ac:dyDescent="0.25">
      <c r="A381" s="14" t="str">
        <f t="shared" si="84"/>
        <v/>
      </c>
      <c r="B381" s="21" t="s">
        <v>476</v>
      </c>
      <c r="C381" s="15"/>
      <c r="D381" s="242"/>
      <c r="E381" s="280">
        <v>0.5</v>
      </c>
      <c r="F381" s="85">
        <v>2500</v>
      </c>
      <c r="G381" s="85"/>
      <c r="H381" s="15" t="s">
        <v>66</v>
      </c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7">
        <f t="shared" si="88"/>
        <v>0</v>
      </c>
      <c r="T381" s="7" t="s">
        <v>493</v>
      </c>
      <c r="U381" s="66">
        <f>0.5*AF$288</f>
        <v>0.5</v>
      </c>
      <c r="V381" s="31">
        <f t="shared" si="86"/>
        <v>0</v>
      </c>
      <c r="W381" s="35">
        <f>Rate!D$3</f>
        <v>34.5</v>
      </c>
      <c r="X381" s="110">
        <f t="shared" ref="X381:X442" si="90">IF(H381="L",V381*W381,0)</f>
        <v>0</v>
      </c>
      <c r="Y381" s="110">
        <f t="shared" ref="Y381:Y442" si="91">IF(H381="M",S381*W381,0)</f>
        <v>0</v>
      </c>
      <c r="Z381" s="110">
        <f t="shared" ref="Z381:Z442" si="92">IF(H381="S",S381*W381,0)</f>
        <v>0</v>
      </c>
      <c r="AA381" s="110">
        <f t="shared" si="87"/>
        <v>0</v>
      </c>
      <c r="AB381" s="110">
        <f>SUM(X381:AA381)</f>
        <v>0</v>
      </c>
      <c r="AC381" s="371" t="s">
        <v>163</v>
      </c>
      <c r="AD381" s="371" t="s">
        <v>148</v>
      </c>
      <c r="AE381" s="371" t="s">
        <v>149</v>
      </c>
      <c r="AF381" s="371"/>
    </row>
    <row r="382" spans="1:32" ht="13.5" hidden="1" thickBot="1" x14ac:dyDescent="0.25">
      <c r="A382" s="14" t="str">
        <f t="shared" si="84"/>
        <v/>
      </c>
      <c r="B382" s="21" t="s">
        <v>476</v>
      </c>
      <c r="C382" s="15"/>
      <c r="D382" s="242"/>
      <c r="E382" s="280">
        <v>0.75</v>
      </c>
      <c r="F382" s="85">
        <v>2500</v>
      </c>
      <c r="G382" s="85"/>
      <c r="H382" s="15" t="s">
        <v>66</v>
      </c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7">
        <f t="shared" ref="S382:S396" si="93">SUM(I382:R382)</f>
        <v>0</v>
      </c>
      <c r="T382" s="7" t="s">
        <v>493</v>
      </c>
      <c r="U382" s="66">
        <f>0.6*AF$288</f>
        <v>0.6</v>
      </c>
      <c r="V382" s="31">
        <f t="shared" si="86"/>
        <v>0</v>
      </c>
      <c r="W382" s="35">
        <f>Rate!D$3</f>
        <v>34.5</v>
      </c>
      <c r="X382" s="110">
        <f t="shared" si="90"/>
        <v>0</v>
      </c>
      <c r="Y382" s="110">
        <f t="shared" si="91"/>
        <v>0</v>
      </c>
      <c r="Z382" s="110">
        <f t="shared" si="92"/>
        <v>0</v>
      </c>
      <c r="AA382" s="110">
        <f t="shared" si="87"/>
        <v>0</v>
      </c>
      <c r="AB382" s="110">
        <f t="shared" ref="AB382:AB396" si="94">SUM(X382:AA382)</f>
        <v>0</v>
      </c>
      <c r="AC382" s="371" t="s">
        <v>163</v>
      </c>
      <c r="AD382" s="371" t="s">
        <v>148</v>
      </c>
      <c r="AE382" s="371" t="s">
        <v>149</v>
      </c>
      <c r="AF382" s="371"/>
    </row>
    <row r="383" spans="1:32" ht="13.5" hidden="1" thickBot="1" x14ac:dyDescent="0.25">
      <c r="A383" s="14" t="str">
        <f t="shared" si="84"/>
        <v/>
      </c>
      <c r="B383" s="21" t="s">
        <v>476</v>
      </c>
      <c r="C383" s="15"/>
      <c r="D383" s="242"/>
      <c r="E383" s="280">
        <v>1</v>
      </c>
      <c r="F383" s="85">
        <v>2500</v>
      </c>
      <c r="G383" s="85"/>
      <c r="H383" s="15" t="s">
        <v>66</v>
      </c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7">
        <f t="shared" si="93"/>
        <v>0</v>
      </c>
      <c r="T383" s="7" t="s">
        <v>493</v>
      </c>
      <c r="U383" s="66">
        <f>0.7*AF$288</f>
        <v>0.7</v>
      </c>
      <c r="V383" s="31">
        <f t="shared" si="86"/>
        <v>0</v>
      </c>
      <c r="W383" s="35">
        <f>Rate!D$3</f>
        <v>34.5</v>
      </c>
      <c r="X383" s="110">
        <f t="shared" si="90"/>
        <v>0</v>
      </c>
      <c r="Y383" s="110">
        <f t="shared" si="91"/>
        <v>0</v>
      </c>
      <c r="Z383" s="110">
        <f t="shared" si="92"/>
        <v>0</v>
      </c>
      <c r="AA383" s="110">
        <f t="shared" si="87"/>
        <v>0</v>
      </c>
      <c r="AB383" s="110">
        <f t="shared" si="94"/>
        <v>0</v>
      </c>
      <c r="AC383" s="371" t="s">
        <v>163</v>
      </c>
      <c r="AD383" s="371" t="s">
        <v>148</v>
      </c>
      <c r="AE383" s="371" t="s">
        <v>149</v>
      </c>
      <c r="AF383" s="371"/>
    </row>
    <row r="384" spans="1:32" ht="13.5" hidden="1" thickBot="1" x14ac:dyDescent="0.25">
      <c r="A384" s="14" t="str">
        <f t="shared" si="84"/>
        <v/>
      </c>
      <c r="B384" s="21" t="s">
        <v>476</v>
      </c>
      <c r="C384" s="15"/>
      <c r="D384" s="242"/>
      <c r="E384" s="280">
        <v>1.5</v>
      </c>
      <c r="F384" s="85">
        <v>2500</v>
      </c>
      <c r="G384" s="85"/>
      <c r="H384" s="15" t="s">
        <v>66</v>
      </c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7">
        <f t="shared" si="93"/>
        <v>0</v>
      </c>
      <c r="T384" s="7" t="s">
        <v>493</v>
      </c>
      <c r="U384" s="66">
        <f>1.4*AF$288</f>
        <v>1.4</v>
      </c>
      <c r="V384" s="31">
        <f t="shared" si="86"/>
        <v>0</v>
      </c>
      <c r="W384" s="35">
        <f>Rate!D$3</f>
        <v>34.5</v>
      </c>
      <c r="X384" s="110">
        <f t="shared" si="90"/>
        <v>0</v>
      </c>
      <c r="Y384" s="110">
        <f t="shared" si="91"/>
        <v>0</v>
      </c>
      <c r="Z384" s="110">
        <f t="shared" si="92"/>
        <v>0</v>
      </c>
      <c r="AA384" s="110">
        <f t="shared" si="87"/>
        <v>0</v>
      </c>
      <c r="AB384" s="110">
        <f t="shared" si="94"/>
        <v>0</v>
      </c>
      <c r="AC384" s="371" t="s">
        <v>163</v>
      </c>
      <c r="AD384" s="371" t="s">
        <v>148</v>
      </c>
      <c r="AE384" s="371" t="s">
        <v>149</v>
      </c>
      <c r="AF384" s="371"/>
    </row>
    <row r="385" spans="1:32" ht="13.5" hidden="1" thickBot="1" x14ac:dyDescent="0.25">
      <c r="A385" s="14" t="str">
        <f t="shared" ref="A385:A396" si="95">+IF(AB385&lt;&gt;0,"X","")</f>
        <v/>
      </c>
      <c r="B385" s="21" t="s">
        <v>476</v>
      </c>
      <c r="C385" s="15"/>
      <c r="D385" s="242"/>
      <c r="E385" s="280">
        <v>2</v>
      </c>
      <c r="F385" s="85">
        <v>2500</v>
      </c>
      <c r="G385" s="85"/>
      <c r="H385" s="15" t="s">
        <v>66</v>
      </c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7">
        <f t="shared" si="93"/>
        <v>0</v>
      </c>
      <c r="T385" s="7" t="s">
        <v>493</v>
      </c>
      <c r="U385" s="66">
        <f>1.8*AF$288</f>
        <v>1.8</v>
      </c>
      <c r="V385" s="31">
        <f t="shared" ref="V385:V396" si="96">+S385*U385</f>
        <v>0</v>
      </c>
      <c r="W385" s="35">
        <f>Rate!D$3</f>
        <v>34.5</v>
      </c>
      <c r="X385" s="110">
        <f t="shared" si="90"/>
        <v>0</v>
      </c>
      <c r="Y385" s="110">
        <f t="shared" si="91"/>
        <v>0</v>
      </c>
      <c r="Z385" s="110">
        <f t="shared" si="92"/>
        <v>0</v>
      </c>
      <c r="AA385" s="110">
        <f t="shared" si="87"/>
        <v>0</v>
      </c>
      <c r="AB385" s="110">
        <f t="shared" si="94"/>
        <v>0</v>
      </c>
      <c r="AC385" s="371" t="s">
        <v>163</v>
      </c>
      <c r="AD385" s="371" t="s">
        <v>148</v>
      </c>
      <c r="AE385" s="371" t="s">
        <v>149</v>
      </c>
      <c r="AF385" s="371"/>
    </row>
    <row r="386" spans="1:32" ht="13.5" hidden="1" thickBot="1" x14ac:dyDescent="0.25">
      <c r="A386" s="14" t="str">
        <f t="shared" si="95"/>
        <v/>
      </c>
      <c r="B386" s="21" t="s">
        <v>476</v>
      </c>
      <c r="C386" s="15"/>
      <c r="D386" s="242"/>
      <c r="E386" s="280">
        <v>3</v>
      </c>
      <c r="F386" s="85">
        <v>2500</v>
      </c>
      <c r="G386" s="85"/>
      <c r="H386" s="15" t="s">
        <v>66</v>
      </c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7">
        <f t="shared" si="93"/>
        <v>0</v>
      </c>
      <c r="T386" s="7" t="s">
        <v>493</v>
      </c>
      <c r="U386" s="66">
        <f>2.6*AF$288</f>
        <v>2.6</v>
      </c>
      <c r="V386" s="31">
        <f t="shared" si="96"/>
        <v>0</v>
      </c>
      <c r="W386" s="35">
        <f>Rate!D$3</f>
        <v>34.5</v>
      </c>
      <c r="X386" s="110">
        <f t="shared" si="90"/>
        <v>0</v>
      </c>
      <c r="Y386" s="110">
        <f t="shared" si="91"/>
        <v>0</v>
      </c>
      <c r="Z386" s="110">
        <f t="shared" si="92"/>
        <v>0</v>
      </c>
      <c r="AA386" s="110">
        <f t="shared" si="87"/>
        <v>0</v>
      </c>
      <c r="AB386" s="110">
        <f t="shared" si="94"/>
        <v>0</v>
      </c>
      <c r="AC386" s="371" t="s">
        <v>163</v>
      </c>
      <c r="AD386" s="371" t="s">
        <v>148</v>
      </c>
      <c r="AE386" s="371" t="s">
        <v>149</v>
      </c>
      <c r="AF386" s="371"/>
    </row>
    <row r="387" spans="1:32" ht="13.5" hidden="1" thickBot="1" x14ac:dyDescent="0.25">
      <c r="A387" s="14" t="str">
        <f t="shared" si="95"/>
        <v/>
      </c>
      <c r="B387" s="21" t="s">
        <v>476</v>
      </c>
      <c r="C387" s="15"/>
      <c r="D387" s="242"/>
      <c r="E387" s="280">
        <v>4</v>
      </c>
      <c r="F387" s="85">
        <v>2500</v>
      </c>
      <c r="G387" s="85"/>
      <c r="H387" s="15" t="s">
        <v>66</v>
      </c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7">
        <f t="shared" si="93"/>
        <v>0</v>
      </c>
      <c r="T387" s="7" t="s">
        <v>493</v>
      </c>
      <c r="U387" s="66">
        <f>3.4*AF$288</f>
        <v>3.4</v>
      </c>
      <c r="V387" s="31">
        <f t="shared" si="96"/>
        <v>0</v>
      </c>
      <c r="W387" s="35">
        <f>Rate!D$3</f>
        <v>34.5</v>
      </c>
      <c r="X387" s="110">
        <f t="shared" si="90"/>
        <v>0</v>
      </c>
      <c r="Y387" s="110">
        <f t="shared" si="91"/>
        <v>0</v>
      </c>
      <c r="Z387" s="110">
        <f t="shared" si="92"/>
        <v>0</v>
      </c>
      <c r="AA387" s="110">
        <f t="shared" si="87"/>
        <v>0</v>
      </c>
      <c r="AB387" s="110">
        <f t="shared" si="94"/>
        <v>0</v>
      </c>
      <c r="AC387" s="371" t="s">
        <v>163</v>
      </c>
      <c r="AD387" s="371" t="s">
        <v>148</v>
      </c>
      <c r="AE387" s="371" t="s">
        <v>149</v>
      </c>
      <c r="AF387" s="371"/>
    </row>
    <row r="388" spans="1:32" ht="13.5" hidden="1" thickBot="1" x14ac:dyDescent="0.25">
      <c r="A388" s="14" t="str">
        <f t="shared" si="95"/>
        <v/>
      </c>
      <c r="B388" s="21" t="s">
        <v>476</v>
      </c>
      <c r="C388" s="15"/>
      <c r="D388" s="242"/>
      <c r="E388" s="280">
        <v>6</v>
      </c>
      <c r="F388" s="85">
        <v>2500</v>
      </c>
      <c r="G388" s="85"/>
      <c r="H388" s="15" t="s">
        <v>66</v>
      </c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7">
        <f t="shared" si="93"/>
        <v>0</v>
      </c>
      <c r="T388" s="7" t="s">
        <v>493</v>
      </c>
      <c r="U388" s="66">
        <f>4.1*AF$288</f>
        <v>4.0999999999999996</v>
      </c>
      <c r="V388" s="31">
        <f t="shared" si="96"/>
        <v>0</v>
      </c>
      <c r="W388" s="35">
        <f>Rate!D$3</f>
        <v>34.5</v>
      </c>
      <c r="X388" s="110">
        <f t="shared" si="90"/>
        <v>0</v>
      </c>
      <c r="Y388" s="110">
        <f t="shared" si="91"/>
        <v>0</v>
      </c>
      <c r="Z388" s="110">
        <f t="shared" si="92"/>
        <v>0</v>
      </c>
      <c r="AA388" s="110">
        <f t="shared" si="87"/>
        <v>0</v>
      </c>
      <c r="AB388" s="110">
        <f t="shared" si="94"/>
        <v>0</v>
      </c>
      <c r="AC388" s="371" t="s">
        <v>163</v>
      </c>
      <c r="AD388" s="371" t="s">
        <v>148</v>
      </c>
      <c r="AE388" s="371" t="s">
        <v>149</v>
      </c>
      <c r="AF388" s="371"/>
    </row>
    <row r="389" spans="1:32" ht="13.5" hidden="1" thickBot="1" x14ac:dyDescent="0.25">
      <c r="A389" s="14" t="str">
        <f t="shared" si="95"/>
        <v/>
      </c>
      <c r="B389" s="21" t="s">
        <v>476</v>
      </c>
      <c r="C389" s="15"/>
      <c r="D389" s="242"/>
      <c r="E389" s="280">
        <v>8</v>
      </c>
      <c r="F389" s="85">
        <v>2500</v>
      </c>
      <c r="G389" s="85"/>
      <c r="H389" s="15" t="s">
        <v>66</v>
      </c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7">
        <f t="shared" si="93"/>
        <v>0</v>
      </c>
      <c r="T389" s="7" t="s">
        <v>493</v>
      </c>
      <c r="U389" s="66">
        <f>5.9*AF$288</f>
        <v>5.9</v>
      </c>
      <c r="V389" s="31">
        <f t="shared" si="96"/>
        <v>0</v>
      </c>
      <c r="W389" s="35">
        <f>Rate!D$3</f>
        <v>34.5</v>
      </c>
      <c r="X389" s="110">
        <f t="shared" si="90"/>
        <v>0</v>
      </c>
      <c r="Y389" s="110">
        <f t="shared" si="91"/>
        <v>0</v>
      </c>
      <c r="Z389" s="110">
        <f t="shared" si="92"/>
        <v>0</v>
      </c>
      <c r="AA389" s="110">
        <f t="shared" si="87"/>
        <v>0</v>
      </c>
      <c r="AB389" s="110">
        <f t="shared" si="94"/>
        <v>0</v>
      </c>
      <c r="AC389" s="371" t="s">
        <v>163</v>
      </c>
      <c r="AD389" s="371" t="s">
        <v>148</v>
      </c>
      <c r="AE389" s="371" t="s">
        <v>149</v>
      </c>
      <c r="AF389" s="371"/>
    </row>
    <row r="390" spans="1:32" ht="13.5" hidden="1" thickBot="1" x14ac:dyDescent="0.25">
      <c r="A390" s="14" t="str">
        <f t="shared" si="95"/>
        <v/>
      </c>
      <c r="B390" s="21" t="s">
        <v>476</v>
      </c>
      <c r="C390" s="15"/>
      <c r="D390" s="242"/>
      <c r="E390" s="280">
        <v>10</v>
      </c>
      <c r="F390" s="85">
        <v>2500</v>
      </c>
      <c r="G390" s="85"/>
      <c r="H390" s="15" t="s">
        <v>66</v>
      </c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7">
        <f t="shared" si="93"/>
        <v>0</v>
      </c>
      <c r="T390" s="7" t="s">
        <v>493</v>
      </c>
      <c r="U390" s="66">
        <f>7*AF$288</f>
        <v>7</v>
      </c>
      <c r="V390" s="31">
        <f t="shared" si="96"/>
        <v>0</v>
      </c>
      <c r="W390" s="35">
        <f>Rate!D$3</f>
        <v>34.5</v>
      </c>
      <c r="X390" s="110">
        <f t="shared" si="90"/>
        <v>0</v>
      </c>
      <c r="Y390" s="110">
        <f t="shared" si="91"/>
        <v>0</v>
      </c>
      <c r="Z390" s="110">
        <f t="shared" si="92"/>
        <v>0</v>
      </c>
      <c r="AA390" s="110">
        <f t="shared" si="87"/>
        <v>0</v>
      </c>
      <c r="AB390" s="110">
        <f t="shared" si="94"/>
        <v>0</v>
      </c>
      <c r="AC390" s="371" t="s">
        <v>163</v>
      </c>
      <c r="AD390" s="371" t="s">
        <v>148</v>
      </c>
      <c r="AE390" s="371" t="s">
        <v>149</v>
      </c>
      <c r="AF390" s="371"/>
    </row>
    <row r="391" spans="1:32" ht="13.5" hidden="1" thickBot="1" x14ac:dyDescent="0.25">
      <c r="A391" s="14" t="str">
        <f t="shared" si="95"/>
        <v/>
      </c>
      <c r="B391" s="21" t="s">
        <v>476</v>
      </c>
      <c r="C391" s="15"/>
      <c r="D391" s="242"/>
      <c r="E391" s="280">
        <v>12</v>
      </c>
      <c r="F391" s="85">
        <v>2500</v>
      </c>
      <c r="G391" s="85"/>
      <c r="H391" s="15" t="s">
        <v>66</v>
      </c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7">
        <f t="shared" si="93"/>
        <v>0</v>
      </c>
      <c r="T391" s="7" t="s">
        <v>493</v>
      </c>
      <c r="U391" s="66">
        <f>9.5*AF$288</f>
        <v>9.5</v>
      </c>
      <c r="V391" s="31">
        <f t="shared" si="96"/>
        <v>0</v>
      </c>
      <c r="W391" s="35">
        <f>Rate!D$3</f>
        <v>34.5</v>
      </c>
      <c r="X391" s="110">
        <f t="shared" si="90"/>
        <v>0</v>
      </c>
      <c r="Y391" s="110">
        <f t="shared" si="91"/>
        <v>0</v>
      </c>
      <c r="Z391" s="110">
        <f t="shared" si="92"/>
        <v>0</v>
      </c>
      <c r="AA391" s="110">
        <f t="shared" si="87"/>
        <v>0</v>
      </c>
      <c r="AB391" s="110">
        <f t="shared" si="94"/>
        <v>0</v>
      </c>
      <c r="AC391" s="371" t="s">
        <v>163</v>
      </c>
      <c r="AD391" s="371" t="s">
        <v>148</v>
      </c>
      <c r="AE391" s="371" t="s">
        <v>149</v>
      </c>
      <c r="AF391" s="371"/>
    </row>
    <row r="392" spans="1:32" ht="13.5" hidden="1" thickBot="1" x14ac:dyDescent="0.25">
      <c r="A392" s="14" t="str">
        <f t="shared" si="95"/>
        <v/>
      </c>
      <c r="B392" s="21" t="s">
        <v>476</v>
      </c>
      <c r="C392" s="15"/>
      <c r="D392" s="242"/>
      <c r="E392" s="280">
        <v>14</v>
      </c>
      <c r="F392" s="85">
        <v>2500</v>
      </c>
      <c r="G392" s="85"/>
      <c r="H392" s="15" t="s">
        <v>66</v>
      </c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7">
        <f t="shared" si="93"/>
        <v>0</v>
      </c>
      <c r="T392" s="7" t="s">
        <v>493</v>
      </c>
      <c r="U392" s="66">
        <f>11.4*AF$288</f>
        <v>11.4</v>
      </c>
      <c r="V392" s="31">
        <f t="shared" si="96"/>
        <v>0</v>
      </c>
      <c r="W392" s="35">
        <f>Rate!D$3</f>
        <v>34.5</v>
      </c>
      <c r="X392" s="110">
        <f t="shared" si="90"/>
        <v>0</v>
      </c>
      <c r="Y392" s="110">
        <f t="shared" si="91"/>
        <v>0</v>
      </c>
      <c r="Z392" s="110">
        <f t="shared" si="92"/>
        <v>0</v>
      </c>
      <c r="AA392" s="110">
        <f t="shared" si="87"/>
        <v>0</v>
      </c>
      <c r="AB392" s="110">
        <f t="shared" si="94"/>
        <v>0</v>
      </c>
      <c r="AC392" s="371" t="s">
        <v>163</v>
      </c>
      <c r="AD392" s="371" t="s">
        <v>148</v>
      </c>
      <c r="AE392" s="371" t="s">
        <v>149</v>
      </c>
      <c r="AF392" s="371"/>
    </row>
    <row r="393" spans="1:32" ht="13.5" hidden="1" thickBot="1" x14ac:dyDescent="0.25">
      <c r="A393" s="14" t="str">
        <f t="shared" si="95"/>
        <v/>
      </c>
      <c r="B393" s="21" t="s">
        <v>476</v>
      </c>
      <c r="C393" s="15"/>
      <c r="D393" s="242"/>
      <c r="E393" s="280">
        <v>16</v>
      </c>
      <c r="F393" s="85">
        <v>2500</v>
      </c>
      <c r="G393" s="85"/>
      <c r="H393" s="15" t="s">
        <v>66</v>
      </c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7">
        <f t="shared" si="93"/>
        <v>0</v>
      </c>
      <c r="T393" s="7" t="s">
        <v>493</v>
      </c>
      <c r="U393" s="66">
        <f>13*AF$288</f>
        <v>13</v>
      </c>
      <c r="V393" s="31">
        <f t="shared" si="96"/>
        <v>0</v>
      </c>
      <c r="W393" s="35">
        <f>Rate!D$3</f>
        <v>34.5</v>
      </c>
      <c r="X393" s="110">
        <f t="shared" si="90"/>
        <v>0</v>
      </c>
      <c r="Y393" s="110">
        <f t="shared" si="91"/>
        <v>0</v>
      </c>
      <c r="Z393" s="110">
        <f t="shared" si="92"/>
        <v>0</v>
      </c>
      <c r="AA393" s="110">
        <f t="shared" si="87"/>
        <v>0</v>
      </c>
      <c r="AB393" s="110">
        <f t="shared" si="94"/>
        <v>0</v>
      </c>
      <c r="AC393" s="371" t="s">
        <v>163</v>
      </c>
      <c r="AD393" s="371" t="s">
        <v>148</v>
      </c>
      <c r="AE393" s="371" t="s">
        <v>149</v>
      </c>
      <c r="AF393" s="371"/>
    </row>
    <row r="394" spans="1:32" ht="13.5" hidden="1" thickBot="1" x14ac:dyDescent="0.25">
      <c r="A394" s="14" t="str">
        <f t="shared" si="95"/>
        <v/>
      </c>
      <c r="B394" s="21" t="s">
        <v>476</v>
      </c>
      <c r="C394" s="15"/>
      <c r="D394" s="242"/>
      <c r="E394" s="280">
        <v>18</v>
      </c>
      <c r="F394" s="85">
        <v>2500</v>
      </c>
      <c r="G394" s="85"/>
      <c r="H394" s="15" t="s">
        <v>66</v>
      </c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7">
        <f t="shared" si="93"/>
        <v>0</v>
      </c>
      <c r="T394" s="7" t="s">
        <v>493</v>
      </c>
      <c r="U394" s="66">
        <f>15.8*AF$288</f>
        <v>15.8</v>
      </c>
      <c r="V394" s="31">
        <f t="shared" si="96"/>
        <v>0</v>
      </c>
      <c r="W394" s="35">
        <f>Rate!D$3</f>
        <v>34.5</v>
      </c>
      <c r="X394" s="110">
        <f t="shared" si="90"/>
        <v>0</v>
      </c>
      <c r="Y394" s="110">
        <f t="shared" si="91"/>
        <v>0</v>
      </c>
      <c r="Z394" s="110">
        <f t="shared" si="92"/>
        <v>0</v>
      </c>
      <c r="AA394" s="110">
        <f t="shared" si="87"/>
        <v>0</v>
      </c>
      <c r="AB394" s="110">
        <f t="shared" si="94"/>
        <v>0</v>
      </c>
      <c r="AC394" s="371" t="s">
        <v>163</v>
      </c>
      <c r="AD394" s="371" t="s">
        <v>148</v>
      </c>
      <c r="AE394" s="371" t="s">
        <v>149</v>
      </c>
      <c r="AF394" s="371"/>
    </row>
    <row r="395" spans="1:32" ht="13.5" hidden="1" thickBot="1" x14ac:dyDescent="0.25">
      <c r="A395" s="14" t="str">
        <f t="shared" si="95"/>
        <v/>
      </c>
      <c r="B395" s="21" t="s">
        <v>476</v>
      </c>
      <c r="C395" s="15"/>
      <c r="D395" s="242"/>
      <c r="E395" s="280">
        <v>20</v>
      </c>
      <c r="F395" s="85">
        <v>2500</v>
      </c>
      <c r="G395" s="85"/>
      <c r="H395" s="15" t="s">
        <v>66</v>
      </c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7">
        <f t="shared" si="93"/>
        <v>0</v>
      </c>
      <c r="T395" s="7" t="s">
        <v>493</v>
      </c>
      <c r="U395" s="66">
        <f>18.4*AF$288</f>
        <v>18.399999999999999</v>
      </c>
      <c r="V395" s="31">
        <f t="shared" si="96"/>
        <v>0</v>
      </c>
      <c r="W395" s="35">
        <f>Rate!D$3</f>
        <v>34.5</v>
      </c>
      <c r="X395" s="110">
        <f t="shared" si="90"/>
        <v>0</v>
      </c>
      <c r="Y395" s="110">
        <f t="shared" si="91"/>
        <v>0</v>
      </c>
      <c r="Z395" s="110">
        <f t="shared" si="92"/>
        <v>0</v>
      </c>
      <c r="AA395" s="110">
        <f t="shared" si="87"/>
        <v>0</v>
      </c>
      <c r="AB395" s="110">
        <f t="shared" si="94"/>
        <v>0</v>
      </c>
      <c r="AC395" s="371" t="s">
        <v>163</v>
      </c>
      <c r="AD395" s="371" t="s">
        <v>148</v>
      </c>
      <c r="AE395" s="371" t="s">
        <v>149</v>
      </c>
      <c r="AF395" s="371"/>
    </row>
    <row r="396" spans="1:32" ht="13.5" hidden="1" thickBot="1" x14ac:dyDescent="0.25">
      <c r="A396" s="14" t="str">
        <f t="shared" si="95"/>
        <v/>
      </c>
      <c r="B396" s="21" t="s">
        <v>476</v>
      </c>
      <c r="C396" s="15"/>
      <c r="D396" s="242"/>
      <c r="E396" s="280">
        <v>24</v>
      </c>
      <c r="F396" s="85">
        <v>2500</v>
      </c>
      <c r="G396" s="85"/>
      <c r="H396" s="15" t="s">
        <v>66</v>
      </c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7">
        <f t="shared" si="93"/>
        <v>0</v>
      </c>
      <c r="T396" s="7" t="s">
        <v>493</v>
      </c>
      <c r="U396" s="66">
        <f>21.5*AF$288</f>
        <v>21.5</v>
      </c>
      <c r="V396" s="31">
        <f t="shared" si="96"/>
        <v>0</v>
      </c>
      <c r="W396" s="35">
        <f>Rate!D$3</f>
        <v>34.5</v>
      </c>
      <c r="X396" s="110">
        <f t="shared" si="90"/>
        <v>0</v>
      </c>
      <c r="Y396" s="110">
        <f t="shared" si="91"/>
        <v>0</v>
      </c>
      <c r="Z396" s="110">
        <f t="shared" si="92"/>
        <v>0</v>
      </c>
      <c r="AA396" s="110">
        <f t="shared" si="87"/>
        <v>0</v>
      </c>
      <c r="AB396" s="110">
        <f t="shared" si="94"/>
        <v>0</v>
      </c>
      <c r="AC396" s="371" t="s">
        <v>163</v>
      </c>
      <c r="AD396" s="371" t="s">
        <v>148</v>
      </c>
      <c r="AE396" s="371" t="s">
        <v>149</v>
      </c>
      <c r="AF396" s="371"/>
    </row>
    <row r="397" spans="1:32" ht="13.5" hidden="1" thickBot="1" x14ac:dyDescent="0.25">
      <c r="A397" s="14" t="str">
        <f>IF(SUM(S$289:S$396)&lt;&gt;0,"X","")</f>
        <v/>
      </c>
      <c r="B397" s="75" t="s">
        <v>674</v>
      </c>
      <c r="C397" s="320" t="s">
        <v>13</v>
      </c>
      <c r="D397" s="304"/>
      <c r="E397" s="304"/>
      <c r="F397" s="297">
        <f>SUM(S289:S396)</f>
        <v>0</v>
      </c>
      <c r="G397" s="297">
        <f>SUM(V289:V396)</f>
        <v>0</v>
      </c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V397" s="94"/>
      <c r="W397" s="17"/>
      <c r="X397" s="111">
        <f t="shared" si="90"/>
        <v>0</v>
      </c>
      <c r="Y397" s="111">
        <f t="shared" si="91"/>
        <v>0</v>
      </c>
      <c r="Z397" s="111">
        <f t="shared" si="92"/>
        <v>0</v>
      </c>
      <c r="AA397" s="111">
        <f t="shared" si="87"/>
        <v>0</v>
      </c>
      <c r="AB397" s="112"/>
    </row>
    <row r="398" spans="1:32" ht="13.5" hidden="1" thickBot="1" x14ac:dyDescent="0.25">
      <c r="A398" s="14" t="str">
        <f>IF(SUM(S$399:S$461)&lt;&gt;0,"X","")</f>
        <v/>
      </c>
      <c r="B398" s="198" t="s">
        <v>4</v>
      </c>
      <c r="C398" s="200" t="s">
        <v>13</v>
      </c>
      <c r="D398" s="239"/>
      <c r="E398" s="199" t="s">
        <v>7</v>
      </c>
      <c r="F398" s="199" t="s">
        <v>60</v>
      </c>
      <c r="G398" s="199" t="s">
        <v>578</v>
      </c>
      <c r="H398" s="200"/>
      <c r="I398" s="200"/>
      <c r="J398" s="200"/>
      <c r="K398" s="200"/>
      <c r="L398" s="200"/>
      <c r="M398" s="200"/>
      <c r="N398" s="200"/>
      <c r="O398" s="200"/>
      <c r="P398" s="200"/>
      <c r="Q398" s="200"/>
      <c r="R398" s="200"/>
      <c r="S398" s="200"/>
      <c r="T398" s="200"/>
      <c r="U398" s="201"/>
      <c r="V398" s="202"/>
      <c r="W398" s="203"/>
      <c r="X398" s="204">
        <f t="shared" si="90"/>
        <v>0</v>
      </c>
      <c r="Y398" s="204">
        <f t="shared" si="91"/>
        <v>0</v>
      </c>
      <c r="Z398" s="204">
        <f t="shared" si="92"/>
        <v>0</v>
      </c>
      <c r="AA398" s="204">
        <f t="shared" si="87"/>
        <v>0</v>
      </c>
      <c r="AB398" s="205"/>
      <c r="AC398" s="369"/>
      <c r="AD398" s="369"/>
      <c r="AE398" s="369" t="s">
        <v>13</v>
      </c>
      <c r="AF398" s="370">
        <v>1</v>
      </c>
    </row>
    <row r="399" spans="1:32" ht="13.5" hidden="1" thickBot="1" x14ac:dyDescent="0.25">
      <c r="A399" s="14" t="str">
        <f t="shared" ref="A399:A430" si="97">+IF(AB399&lt;&gt;0,"X","")</f>
        <v/>
      </c>
      <c r="B399" s="21" t="s">
        <v>465</v>
      </c>
      <c r="C399" s="315"/>
      <c r="D399" s="244"/>
      <c r="E399" s="279">
        <v>0.5</v>
      </c>
      <c r="F399" s="252" t="s">
        <v>0</v>
      </c>
      <c r="G399" s="292">
        <v>0.109</v>
      </c>
      <c r="H399" s="15" t="s">
        <v>66</v>
      </c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9">
        <f t="shared" ref="S399:S430" si="98">SUM(I399:R399)</f>
        <v>0</v>
      </c>
      <c r="T399" s="19" t="s">
        <v>748</v>
      </c>
      <c r="U399" s="133">
        <f>0.16*AF$398</f>
        <v>0.16</v>
      </c>
      <c r="V399" s="93">
        <f t="shared" ref="V399:V430" si="99">+S399*U399</f>
        <v>0</v>
      </c>
      <c r="W399" s="123">
        <f>Rate!D$3</f>
        <v>34.5</v>
      </c>
      <c r="X399" s="109">
        <f t="shared" si="90"/>
        <v>0</v>
      </c>
      <c r="Y399" s="109">
        <f t="shared" si="91"/>
        <v>0</v>
      </c>
      <c r="Z399" s="109">
        <f t="shared" si="92"/>
        <v>0</v>
      </c>
      <c r="AA399" s="109">
        <f t="shared" si="87"/>
        <v>0</v>
      </c>
      <c r="AB399" s="109">
        <f t="shared" ref="AB399:AB430" si="100">SUM(X399:AA399)</f>
        <v>0</v>
      </c>
      <c r="AC399" s="371" t="s">
        <v>163</v>
      </c>
      <c r="AD399" s="371" t="s">
        <v>148</v>
      </c>
      <c r="AE399" s="371" t="s">
        <v>149</v>
      </c>
      <c r="AF399" s="371"/>
    </row>
    <row r="400" spans="1:32" ht="13.5" hidden="1" thickBot="1" x14ac:dyDescent="0.25">
      <c r="A400" s="14" t="str">
        <f t="shared" si="97"/>
        <v/>
      </c>
      <c r="B400" s="21" t="s">
        <v>465</v>
      </c>
      <c r="C400" s="321"/>
      <c r="D400" s="242"/>
      <c r="E400" s="280">
        <v>0.75</v>
      </c>
      <c r="F400" s="85" t="s">
        <v>0</v>
      </c>
      <c r="G400" s="298">
        <v>0.113</v>
      </c>
      <c r="H400" s="15" t="s">
        <v>66</v>
      </c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7">
        <f t="shared" si="98"/>
        <v>0</v>
      </c>
      <c r="T400" s="7" t="s">
        <v>748</v>
      </c>
      <c r="U400" s="66">
        <f>0.17*AF$398</f>
        <v>0.17</v>
      </c>
      <c r="V400" s="31">
        <f t="shared" si="99"/>
        <v>0</v>
      </c>
      <c r="W400" s="35">
        <f>Rate!D$3</f>
        <v>34.5</v>
      </c>
      <c r="X400" s="110">
        <f t="shared" si="90"/>
        <v>0</v>
      </c>
      <c r="Y400" s="110">
        <f t="shared" si="91"/>
        <v>0</v>
      </c>
      <c r="Z400" s="110">
        <f t="shared" si="92"/>
        <v>0</v>
      </c>
      <c r="AA400" s="110">
        <f t="shared" si="87"/>
        <v>0</v>
      </c>
      <c r="AB400" s="110">
        <f t="shared" si="100"/>
        <v>0</v>
      </c>
      <c r="AC400" s="371" t="s">
        <v>163</v>
      </c>
      <c r="AD400" s="371" t="s">
        <v>148</v>
      </c>
      <c r="AE400" s="371" t="s">
        <v>149</v>
      </c>
      <c r="AF400" s="371"/>
    </row>
    <row r="401" spans="1:32" ht="13.5" hidden="1" thickBot="1" x14ac:dyDescent="0.25">
      <c r="A401" s="14" t="str">
        <f t="shared" si="97"/>
        <v/>
      </c>
      <c r="B401" s="21" t="s">
        <v>465</v>
      </c>
      <c r="C401" s="321"/>
      <c r="D401" s="242"/>
      <c r="E401" s="280">
        <v>1</v>
      </c>
      <c r="F401" s="85" t="s">
        <v>0</v>
      </c>
      <c r="G401" s="298">
        <v>0.13300000000000001</v>
      </c>
      <c r="H401" s="15" t="s">
        <v>66</v>
      </c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7">
        <f t="shared" si="98"/>
        <v>0</v>
      </c>
      <c r="T401" s="7" t="s">
        <v>748</v>
      </c>
      <c r="U401" s="66">
        <f>0.17*AF$398</f>
        <v>0.17</v>
      </c>
      <c r="V401" s="31">
        <f t="shared" si="99"/>
        <v>0</v>
      </c>
      <c r="W401" s="35">
        <f>Rate!D$3</f>
        <v>34.5</v>
      </c>
      <c r="X401" s="110">
        <f t="shared" si="90"/>
        <v>0</v>
      </c>
      <c r="Y401" s="110">
        <f t="shared" si="91"/>
        <v>0</v>
      </c>
      <c r="Z401" s="110">
        <f t="shared" si="92"/>
        <v>0</v>
      </c>
      <c r="AA401" s="110">
        <f t="shared" si="87"/>
        <v>0</v>
      </c>
      <c r="AB401" s="110">
        <f t="shared" si="100"/>
        <v>0</v>
      </c>
      <c r="AC401" s="371" t="s">
        <v>163</v>
      </c>
      <c r="AD401" s="371" t="s">
        <v>148</v>
      </c>
      <c r="AE401" s="371" t="s">
        <v>149</v>
      </c>
      <c r="AF401" s="371"/>
    </row>
    <row r="402" spans="1:32" ht="13.5" hidden="1" thickBot="1" x14ac:dyDescent="0.25">
      <c r="A402" s="14" t="str">
        <f t="shared" si="97"/>
        <v/>
      </c>
      <c r="B402" s="21" t="s">
        <v>465</v>
      </c>
      <c r="C402" s="321"/>
      <c r="D402" s="242"/>
      <c r="E402" s="280">
        <v>1.5</v>
      </c>
      <c r="F402" s="85" t="s">
        <v>0</v>
      </c>
      <c r="G402" s="298">
        <v>0.14499999999999999</v>
      </c>
      <c r="H402" s="15" t="s">
        <v>66</v>
      </c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7">
        <f t="shared" si="98"/>
        <v>0</v>
      </c>
      <c r="T402" s="7" t="s">
        <v>748</v>
      </c>
      <c r="U402" s="66">
        <f>0.19*AF$398</f>
        <v>0.19</v>
      </c>
      <c r="V402" s="31">
        <f t="shared" si="99"/>
        <v>0</v>
      </c>
      <c r="W402" s="35">
        <f>Rate!D$3</f>
        <v>34.5</v>
      </c>
      <c r="X402" s="110">
        <f t="shared" si="90"/>
        <v>0</v>
      </c>
      <c r="Y402" s="110">
        <f t="shared" si="91"/>
        <v>0</v>
      </c>
      <c r="Z402" s="110">
        <f t="shared" si="92"/>
        <v>0</v>
      </c>
      <c r="AA402" s="110">
        <f t="shared" si="87"/>
        <v>0</v>
      </c>
      <c r="AB402" s="110">
        <f t="shared" si="100"/>
        <v>0</v>
      </c>
      <c r="AC402" s="371" t="s">
        <v>163</v>
      </c>
      <c r="AD402" s="371" t="s">
        <v>148</v>
      </c>
      <c r="AE402" s="371" t="s">
        <v>149</v>
      </c>
      <c r="AF402" s="371"/>
    </row>
    <row r="403" spans="1:32" ht="13.5" hidden="1" thickBot="1" x14ac:dyDescent="0.25">
      <c r="A403" s="14" t="str">
        <f t="shared" si="97"/>
        <v/>
      </c>
      <c r="B403" s="21" t="s">
        <v>465</v>
      </c>
      <c r="C403" s="321"/>
      <c r="D403" s="242"/>
      <c r="E403" s="280">
        <v>2</v>
      </c>
      <c r="F403" s="85" t="s">
        <v>0</v>
      </c>
      <c r="G403" s="298">
        <v>0.154</v>
      </c>
      <c r="H403" s="15" t="s">
        <v>66</v>
      </c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7">
        <f t="shared" si="98"/>
        <v>0</v>
      </c>
      <c r="T403" s="7" t="s">
        <v>748</v>
      </c>
      <c r="U403" s="66">
        <f>0.2*AF$398</f>
        <v>0.2</v>
      </c>
      <c r="V403" s="31">
        <f t="shared" si="99"/>
        <v>0</v>
      </c>
      <c r="W403" s="35">
        <f>Rate!D$3</f>
        <v>34.5</v>
      </c>
      <c r="X403" s="110">
        <f t="shared" si="90"/>
        <v>0</v>
      </c>
      <c r="Y403" s="110">
        <f t="shared" si="91"/>
        <v>0</v>
      </c>
      <c r="Z403" s="110">
        <f t="shared" si="92"/>
        <v>0</v>
      </c>
      <c r="AA403" s="110">
        <f t="shared" si="87"/>
        <v>0</v>
      </c>
      <c r="AB403" s="110">
        <f t="shared" si="100"/>
        <v>0</v>
      </c>
      <c r="AC403" s="371" t="s">
        <v>163</v>
      </c>
      <c r="AD403" s="371" t="s">
        <v>148</v>
      </c>
      <c r="AE403" s="371" t="s">
        <v>149</v>
      </c>
      <c r="AF403" s="371"/>
    </row>
    <row r="404" spans="1:32" ht="13.5" hidden="1" thickBot="1" x14ac:dyDescent="0.25">
      <c r="A404" s="14" t="str">
        <f t="shared" si="97"/>
        <v/>
      </c>
      <c r="B404" s="21" t="s">
        <v>465</v>
      </c>
      <c r="C404" s="321"/>
      <c r="D404" s="242"/>
      <c r="E404" s="280">
        <v>3</v>
      </c>
      <c r="F404" s="85" t="s">
        <v>0</v>
      </c>
      <c r="G404" s="298">
        <v>0.216</v>
      </c>
      <c r="H404" s="15" t="s">
        <v>66</v>
      </c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7">
        <f t="shared" si="98"/>
        <v>0</v>
      </c>
      <c r="T404" s="7" t="s">
        <v>748</v>
      </c>
      <c r="U404" s="66">
        <f>0.23*AF$398</f>
        <v>0.23</v>
      </c>
      <c r="V404" s="31">
        <f t="shared" si="99"/>
        <v>0</v>
      </c>
      <c r="W404" s="35">
        <f>Rate!D$3</f>
        <v>34.5</v>
      </c>
      <c r="X404" s="110">
        <f t="shared" si="90"/>
        <v>0</v>
      </c>
      <c r="Y404" s="110">
        <f t="shared" si="91"/>
        <v>0</v>
      </c>
      <c r="Z404" s="110">
        <f t="shared" si="92"/>
        <v>0</v>
      </c>
      <c r="AA404" s="110">
        <f t="shared" si="87"/>
        <v>0</v>
      </c>
      <c r="AB404" s="110">
        <f t="shared" si="100"/>
        <v>0</v>
      </c>
      <c r="AC404" s="371" t="s">
        <v>163</v>
      </c>
      <c r="AD404" s="371" t="s">
        <v>148</v>
      </c>
      <c r="AE404" s="371" t="s">
        <v>149</v>
      </c>
      <c r="AF404" s="371"/>
    </row>
    <row r="405" spans="1:32" ht="13.5" hidden="1" thickBot="1" x14ac:dyDescent="0.25">
      <c r="A405" s="14" t="str">
        <f t="shared" si="97"/>
        <v/>
      </c>
      <c r="B405" s="21" t="s">
        <v>465</v>
      </c>
      <c r="C405" s="321"/>
      <c r="D405" s="242"/>
      <c r="E405" s="280">
        <v>4</v>
      </c>
      <c r="F405" s="85" t="s">
        <v>0</v>
      </c>
      <c r="G405" s="298">
        <v>0.23699999999999999</v>
      </c>
      <c r="H405" s="15" t="s">
        <v>66</v>
      </c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7">
        <f t="shared" si="98"/>
        <v>0</v>
      </c>
      <c r="T405" s="7" t="s">
        <v>748</v>
      </c>
      <c r="U405" s="66">
        <f>0.25*AF$398</f>
        <v>0.25</v>
      </c>
      <c r="V405" s="31">
        <f t="shared" si="99"/>
        <v>0</v>
      </c>
      <c r="W405" s="35">
        <f>Rate!D$3</f>
        <v>34.5</v>
      </c>
      <c r="X405" s="110">
        <f t="shared" si="90"/>
        <v>0</v>
      </c>
      <c r="Y405" s="110">
        <f t="shared" si="91"/>
        <v>0</v>
      </c>
      <c r="Z405" s="110">
        <f t="shared" si="92"/>
        <v>0</v>
      </c>
      <c r="AA405" s="110">
        <f t="shared" si="87"/>
        <v>0</v>
      </c>
      <c r="AB405" s="110">
        <f t="shared" si="100"/>
        <v>0</v>
      </c>
      <c r="AC405" s="371" t="s">
        <v>163</v>
      </c>
      <c r="AD405" s="371" t="s">
        <v>148</v>
      </c>
      <c r="AE405" s="371" t="s">
        <v>149</v>
      </c>
      <c r="AF405" s="371"/>
    </row>
    <row r="406" spans="1:32" ht="13.5" hidden="1" thickBot="1" x14ac:dyDescent="0.25">
      <c r="A406" s="14" t="str">
        <f t="shared" si="97"/>
        <v/>
      </c>
      <c r="B406" s="21" t="s">
        <v>465</v>
      </c>
      <c r="C406" s="321"/>
      <c r="D406" s="242"/>
      <c r="E406" s="280">
        <v>6</v>
      </c>
      <c r="F406" s="85" t="s">
        <v>0</v>
      </c>
      <c r="G406" s="298">
        <v>0.28000000000000003</v>
      </c>
      <c r="H406" s="15" t="s">
        <v>66</v>
      </c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7">
        <f t="shared" si="98"/>
        <v>0</v>
      </c>
      <c r="T406" s="7" t="s">
        <v>748</v>
      </c>
      <c r="U406" s="66">
        <f>0.28*AF$398</f>
        <v>0.28000000000000003</v>
      </c>
      <c r="V406" s="31">
        <f t="shared" si="99"/>
        <v>0</v>
      </c>
      <c r="W406" s="35">
        <f>Rate!D$3</f>
        <v>34.5</v>
      </c>
      <c r="X406" s="110">
        <f t="shared" si="90"/>
        <v>0</v>
      </c>
      <c r="Y406" s="110">
        <f t="shared" si="91"/>
        <v>0</v>
      </c>
      <c r="Z406" s="110">
        <f t="shared" si="92"/>
        <v>0</v>
      </c>
      <c r="AA406" s="110">
        <f t="shared" si="87"/>
        <v>0</v>
      </c>
      <c r="AB406" s="110">
        <f t="shared" si="100"/>
        <v>0</v>
      </c>
      <c r="AC406" s="371" t="s">
        <v>163</v>
      </c>
      <c r="AD406" s="371" t="s">
        <v>148</v>
      </c>
      <c r="AE406" s="371" t="s">
        <v>149</v>
      </c>
      <c r="AF406" s="371"/>
    </row>
    <row r="407" spans="1:32" ht="13.5" hidden="1" thickBot="1" x14ac:dyDescent="0.25">
      <c r="A407" s="14" t="str">
        <f t="shared" si="97"/>
        <v/>
      </c>
      <c r="B407" s="21" t="s">
        <v>465</v>
      </c>
      <c r="C407" s="321"/>
      <c r="D407" s="242"/>
      <c r="E407" s="280">
        <v>8</v>
      </c>
      <c r="F407" s="85" t="s">
        <v>0</v>
      </c>
      <c r="G407" s="298">
        <v>0.32200000000000001</v>
      </c>
      <c r="H407" s="15" t="s">
        <v>66</v>
      </c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7">
        <f t="shared" si="98"/>
        <v>0</v>
      </c>
      <c r="T407" s="7" t="s">
        <v>748</v>
      </c>
      <c r="U407" s="66">
        <f>0.34*AF$398</f>
        <v>0.34</v>
      </c>
      <c r="V407" s="31">
        <f t="shared" si="99"/>
        <v>0</v>
      </c>
      <c r="W407" s="35">
        <f>Rate!D$3</f>
        <v>34.5</v>
      </c>
      <c r="X407" s="110">
        <f t="shared" si="90"/>
        <v>0</v>
      </c>
      <c r="Y407" s="110">
        <f t="shared" si="91"/>
        <v>0</v>
      </c>
      <c r="Z407" s="110">
        <f t="shared" si="92"/>
        <v>0</v>
      </c>
      <c r="AA407" s="110">
        <f t="shared" si="87"/>
        <v>0</v>
      </c>
      <c r="AB407" s="110">
        <f t="shared" si="100"/>
        <v>0</v>
      </c>
      <c r="AC407" s="371" t="s">
        <v>163</v>
      </c>
      <c r="AD407" s="371" t="s">
        <v>148</v>
      </c>
      <c r="AE407" s="371" t="s">
        <v>149</v>
      </c>
      <c r="AF407" s="371"/>
    </row>
    <row r="408" spans="1:32" ht="13.5" hidden="1" thickBot="1" x14ac:dyDescent="0.25">
      <c r="A408" s="14" t="str">
        <f t="shared" si="97"/>
        <v/>
      </c>
      <c r="B408" s="21" t="s">
        <v>465</v>
      </c>
      <c r="C408" s="321"/>
      <c r="D408" s="242"/>
      <c r="E408" s="280">
        <v>10</v>
      </c>
      <c r="F408" s="85" t="s">
        <v>0</v>
      </c>
      <c r="G408" s="298">
        <v>0.36499999999999999</v>
      </c>
      <c r="H408" s="15" t="s">
        <v>66</v>
      </c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7">
        <f t="shared" si="98"/>
        <v>0</v>
      </c>
      <c r="T408" s="7" t="s">
        <v>748</v>
      </c>
      <c r="U408" s="66">
        <f>0.43*AF$398</f>
        <v>0.43</v>
      </c>
      <c r="V408" s="31">
        <f t="shared" si="99"/>
        <v>0</v>
      </c>
      <c r="W408" s="35">
        <f>Rate!D$3</f>
        <v>34.5</v>
      </c>
      <c r="X408" s="110">
        <f t="shared" si="90"/>
        <v>0</v>
      </c>
      <c r="Y408" s="110">
        <f t="shared" si="91"/>
        <v>0</v>
      </c>
      <c r="Z408" s="110">
        <f t="shared" si="92"/>
        <v>0</v>
      </c>
      <c r="AA408" s="110">
        <f t="shared" si="87"/>
        <v>0</v>
      </c>
      <c r="AB408" s="110">
        <f t="shared" si="100"/>
        <v>0</v>
      </c>
      <c r="AC408" s="371" t="s">
        <v>163</v>
      </c>
      <c r="AD408" s="371" t="s">
        <v>148</v>
      </c>
      <c r="AE408" s="371" t="s">
        <v>149</v>
      </c>
      <c r="AF408" s="371"/>
    </row>
    <row r="409" spans="1:32" ht="13.5" hidden="1" thickBot="1" x14ac:dyDescent="0.25">
      <c r="A409" s="14" t="str">
        <f t="shared" si="97"/>
        <v/>
      </c>
      <c r="B409" s="21" t="s">
        <v>465</v>
      </c>
      <c r="C409" s="321"/>
      <c r="D409" s="242"/>
      <c r="E409" s="280">
        <v>12</v>
      </c>
      <c r="F409" s="85" t="s">
        <v>0</v>
      </c>
      <c r="G409" s="298">
        <v>0.375</v>
      </c>
      <c r="H409" s="15" t="s">
        <v>66</v>
      </c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7">
        <f t="shared" si="98"/>
        <v>0</v>
      </c>
      <c r="T409" s="7" t="s">
        <v>748</v>
      </c>
      <c r="U409" s="66">
        <f>0.52*AF$398</f>
        <v>0.52</v>
      </c>
      <c r="V409" s="31">
        <f t="shared" si="99"/>
        <v>0</v>
      </c>
      <c r="W409" s="35">
        <f>Rate!D$3</f>
        <v>34.5</v>
      </c>
      <c r="X409" s="110">
        <f t="shared" si="90"/>
        <v>0</v>
      </c>
      <c r="Y409" s="110">
        <f t="shared" si="91"/>
        <v>0</v>
      </c>
      <c r="Z409" s="110">
        <f t="shared" si="92"/>
        <v>0</v>
      </c>
      <c r="AA409" s="110">
        <f t="shared" si="87"/>
        <v>0</v>
      </c>
      <c r="AB409" s="110">
        <f t="shared" si="100"/>
        <v>0</v>
      </c>
      <c r="AC409" s="371" t="s">
        <v>163</v>
      </c>
      <c r="AD409" s="371" t="s">
        <v>148</v>
      </c>
      <c r="AE409" s="371" t="s">
        <v>149</v>
      </c>
      <c r="AF409" s="371"/>
    </row>
    <row r="410" spans="1:32" ht="13.5" hidden="1" thickBot="1" x14ac:dyDescent="0.25">
      <c r="A410" s="14" t="str">
        <f t="shared" si="97"/>
        <v/>
      </c>
      <c r="B410" s="21" t="s">
        <v>465</v>
      </c>
      <c r="C410" s="321"/>
      <c r="D410" s="242"/>
      <c r="E410" s="280">
        <v>14</v>
      </c>
      <c r="F410" s="85" t="s">
        <v>0</v>
      </c>
      <c r="G410" s="298">
        <v>0.375</v>
      </c>
      <c r="H410" s="15" t="s">
        <v>66</v>
      </c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7">
        <f t="shared" si="98"/>
        <v>0</v>
      </c>
      <c r="T410" s="7" t="s">
        <v>748</v>
      </c>
      <c r="U410" s="66">
        <f>0.64*AF$398</f>
        <v>0.64</v>
      </c>
      <c r="V410" s="31">
        <f t="shared" si="99"/>
        <v>0</v>
      </c>
      <c r="W410" s="35">
        <f>Rate!D$3</f>
        <v>34.5</v>
      </c>
      <c r="X410" s="110">
        <f t="shared" si="90"/>
        <v>0</v>
      </c>
      <c r="Y410" s="110">
        <f t="shared" si="91"/>
        <v>0</v>
      </c>
      <c r="Z410" s="110">
        <f t="shared" si="92"/>
        <v>0</v>
      </c>
      <c r="AA410" s="110">
        <f t="shared" si="87"/>
        <v>0</v>
      </c>
      <c r="AB410" s="110">
        <f t="shared" si="100"/>
        <v>0</v>
      </c>
      <c r="AC410" s="371" t="s">
        <v>163</v>
      </c>
      <c r="AD410" s="371" t="s">
        <v>148</v>
      </c>
      <c r="AE410" s="371" t="s">
        <v>149</v>
      </c>
      <c r="AF410" s="371"/>
    </row>
    <row r="411" spans="1:32" ht="13.5" hidden="1" thickBot="1" x14ac:dyDescent="0.25">
      <c r="A411" s="14" t="str">
        <f t="shared" si="97"/>
        <v/>
      </c>
      <c r="B411" s="21" t="s">
        <v>465</v>
      </c>
      <c r="C411" s="321"/>
      <c r="D411" s="242"/>
      <c r="E411" s="280">
        <v>16</v>
      </c>
      <c r="F411" s="85" t="s">
        <v>0</v>
      </c>
      <c r="G411" s="298">
        <v>0.375</v>
      </c>
      <c r="H411" s="15" t="s">
        <v>66</v>
      </c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7">
        <f t="shared" si="98"/>
        <v>0</v>
      </c>
      <c r="T411" s="7" t="s">
        <v>748</v>
      </c>
      <c r="U411" s="66">
        <f>0.75*AF$398</f>
        <v>0.75</v>
      </c>
      <c r="V411" s="31">
        <f t="shared" si="99"/>
        <v>0</v>
      </c>
      <c r="W411" s="35">
        <f>Rate!D$3</f>
        <v>34.5</v>
      </c>
      <c r="X411" s="110">
        <f t="shared" si="90"/>
        <v>0</v>
      </c>
      <c r="Y411" s="110">
        <f t="shared" si="91"/>
        <v>0</v>
      </c>
      <c r="Z411" s="110">
        <f t="shared" si="92"/>
        <v>0</v>
      </c>
      <c r="AA411" s="110">
        <f t="shared" si="87"/>
        <v>0</v>
      </c>
      <c r="AB411" s="110">
        <f t="shared" si="100"/>
        <v>0</v>
      </c>
      <c r="AC411" s="371" t="s">
        <v>163</v>
      </c>
      <c r="AD411" s="371" t="s">
        <v>148</v>
      </c>
      <c r="AE411" s="371" t="s">
        <v>149</v>
      </c>
      <c r="AF411" s="371"/>
    </row>
    <row r="412" spans="1:32" ht="13.5" hidden="1" thickBot="1" x14ac:dyDescent="0.25">
      <c r="A412" s="14" t="str">
        <f t="shared" si="97"/>
        <v/>
      </c>
      <c r="B412" s="21" t="s">
        <v>465</v>
      </c>
      <c r="C412" s="321"/>
      <c r="D412" s="242"/>
      <c r="E412" s="280">
        <v>18</v>
      </c>
      <c r="F412" s="85" t="s">
        <v>0</v>
      </c>
      <c r="G412" s="298">
        <v>0.375</v>
      </c>
      <c r="H412" s="15" t="s">
        <v>66</v>
      </c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7">
        <f t="shared" si="98"/>
        <v>0</v>
      </c>
      <c r="T412" s="7" t="s">
        <v>748</v>
      </c>
      <c r="U412" s="66">
        <f>0.88*AF$398</f>
        <v>0.88</v>
      </c>
      <c r="V412" s="31">
        <f t="shared" si="99"/>
        <v>0</v>
      </c>
      <c r="W412" s="35">
        <f>Rate!D$3</f>
        <v>34.5</v>
      </c>
      <c r="X412" s="110">
        <f t="shared" si="90"/>
        <v>0</v>
      </c>
      <c r="Y412" s="110">
        <f t="shared" si="91"/>
        <v>0</v>
      </c>
      <c r="Z412" s="110">
        <f t="shared" si="92"/>
        <v>0</v>
      </c>
      <c r="AA412" s="110">
        <f t="shared" si="87"/>
        <v>0</v>
      </c>
      <c r="AB412" s="110">
        <f t="shared" si="100"/>
        <v>0</v>
      </c>
      <c r="AC412" s="371" t="s">
        <v>163</v>
      </c>
      <c r="AD412" s="371" t="s">
        <v>148</v>
      </c>
      <c r="AE412" s="371" t="s">
        <v>149</v>
      </c>
      <c r="AF412" s="371"/>
    </row>
    <row r="413" spans="1:32" ht="13.5" hidden="1" thickBot="1" x14ac:dyDescent="0.25">
      <c r="A413" s="14" t="str">
        <f t="shared" si="97"/>
        <v/>
      </c>
      <c r="B413" s="21" t="s">
        <v>465</v>
      </c>
      <c r="C413" s="321"/>
      <c r="D413" s="242"/>
      <c r="E413" s="280">
        <v>20</v>
      </c>
      <c r="F413" s="85" t="s">
        <v>0</v>
      </c>
      <c r="G413" s="298">
        <v>0.375</v>
      </c>
      <c r="H413" s="15" t="s">
        <v>66</v>
      </c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7">
        <f t="shared" si="98"/>
        <v>0</v>
      </c>
      <c r="T413" s="7" t="s">
        <v>748</v>
      </c>
      <c r="U413" s="66">
        <f>1.03*AF$398</f>
        <v>1.03</v>
      </c>
      <c r="V413" s="31">
        <f t="shared" si="99"/>
        <v>0</v>
      </c>
      <c r="W413" s="35">
        <f>Rate!D$3</f>
        <v>34.5</v>
      </c>
      <c r="X413" s="110">
        <f t="shared" si="90"/>
        <v>0</v>
      </c>
      <c r="Y413" s="110">
        <f t="shared" si="91"/>
        <v>0</v>
      </c>
      <c r="Z413" s="110">
        <f t="shared" si="92"/>
        <v>0</v>
      </c>
      <c r="AA413" s="110">
        <f t="shared" si="87"/>
        <v>0</v>
      </c>
      <c r="AB413" s="110">
        <f t="shared" si="100"/>
        <v>0</v>
      </c>
      <c r="AC413" s="371" t="s">
        <v>163</v>
      </c>
      <c r="AD413" s="371" t="s">
        <v>148</v>
      </c>
      <c r="AE413" s="371" t="s">
        <v>149</v>
      </c>
      <c r="AF413" s="371"/>
    </row>
    <row r="414" spans="1:32" ht="13.5" hidden="1" thickBot="1" x14ac:dyDescent="0.25">
      <c r="A414" s="14" t="str">
        <f t="shared" si="97"/>
        <v/>
      </c>
      <c r="B414" s="21" t="s">
        <v>465</v>
      </c>
      <c r="C414" s="321"/>
      <c r="D414" s="242"/>
      <c r="E414" s="280">
        <v>24</v>
      </c>
      <c r="F414" s="85" t="s">
        <v>0</v>
      </c>
      <c r="G414" s="298">
        <v>0.375</v>
      </c>
      <c r="H414" s="15" t="s">
        <v>66</v>
      </c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7">
        <f>SUM(I414:R414)</f>
        <v>0</v>
      </c>
      <c r="T414" s="7" t="s">
        <v>748</v>
      </c>
      <c r="U414" s="66">
        <f>1.15*AF$398</f>
        <v>1.1499999999999999</v>
      </c>
      <c r="V414" s="31">
        <f t="shared" si="99"/>
        <v>0</v>
      </c>
      <c r="W414" s="35">
        <f>Rate!D$3</f>
        <v>34.5</v>
      </c>
      <c r="X414" s="110">
        <f t="shared" si="90"/>
        <v>0</v>
      </c>
      <c r="Y414" s="110">
        <f t="shared" si="91"/>
        <v>0</v>
      </c>
      <c r="Z414" s="110">
        <f t="shared" si="92"/>
        <v>0</v>
      </c>
      <c r="AA414" s="110">
        <f t="shared" si="87"/>
        <v>0</v>
      </c>
      <c r="AB414" s="110">
        <f t="shared" si="100"/>
        <v>0</v>
      </c>
      <c r="AC414" s="371" t="s">
        <v>163</v>
      </c>
      <c r="AD414" s="371" t="s">
        <v>148</v>
      </c>
      <c r="AE414" s="371" t="s">
        <v>149</v>
      </c>
      <c r="AF414" s="371"/>
    </row>
    <row r="415" spans="1:32" ht="13.5" hidden="1" thickBot="1" x14ac:dyDescent="0.25">
      <c r="A415" s="14" t="str">
        <f t="shared" si="97"/>
        <v/>
      </c>
      <c r="B415" s="21" t="s">
        <v>465</v>
      </c>
      <c r="C415" s="321"/>
      <c r="D415" s="242"/>
      <c r="E415" s="280">
        <v>30</v>
      </c>
      <c r="F415" s="85" t="s">
        <v>0</v>
      </c>
      <c r="G415" s="298">
        <v>0.375</v>
      </c>
      <c r="H415" s="15" t="s">
        <v>66</v>
      </c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7">
        <f t="shared" si="98"/>
        <v>0</v>
      </c>
      <c r="T415" s="7" t="s">
        <v>748</v>
      </c>
      <c r="U415" s="66">
        <f>1.42*AF$398</f>
        <v>1.42</v>
      </c>
      <c r="V415" s="31">
        <f t="shared" si="99"/>
        <v>0</v>
      </c>
      <c r="W415" s="35">
        <f>Rate!D$3</f>
        <v>34.5</v>
      </c>
      <c r="X415" s="110">
        <f t="shared" si="90"/>
        <v>0</v>
      </c>
      <c r="Y415" s="110">
        <f t="shared" si="91"/>
        <v>0</v>
      </c>
      <c r="Z415" s="110">
        <f t="shared" si="92"/>
        <v>0</v>
      </c>
      <c r="AA415" s="110">
        <f t="shared" si="87"/>
        <v>0</v>
      </c>
      <c r="AB415" s="110">
        <f t="shared" si="100"/>
        <v>0</v>
      </c>
      <c r="AC415" s="371" t="s">
        <v>163</v>
      </c>
      <c r="AD415" s="371" t="s">
        <v>148</v>
      </c>
      <c r="AE415" s="371" t="s">
        <v>149</v>
      </c>
      <c r="AF415" s="371"/>
    </row>
    <row r="416" spans="1:32" ht="13.5" hidden="1" thickBot="1" x14ac:dyDescent="0.25">
      <c r="A416" s="14" t="str">
        <f t="shared" si="97"/>
        <v/>
      </c>
      <c r="B416" s="21" t="s">
        <v>465</v>
      </c>
      <c r="C416" s="321"/>
      <c r="D416" s="242"/>
      <c r="E416" s="280">
        <v>36</v>
      </c>
      <c r="F416" s="85" t="s">
        <v>0</v>
      </c>
      <c r="G416" s="298">
        <v>0.375</v>
      </c>
      <c r="H416" s="15" t="s">
        <v>66</v>
      </c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7">
        <f t="shared" si="98"/>
        <v>0</v>
      </c>
      <c r="T416" s="7" t="s">
        <v>748</v>
      </c>
      <c r="U416" s="66">
        <f>1.78*AF$398</f>
        <v>1.78</v>
      </c>
      <c r="V416" s="31">
        <f t="shared" si="99"/>
        <v>0</v>
      </c>
      <c r="W416" s="35">
        <f>Rate!D$3</f>
        <v>34.5</v>
      </c>
      <c r="X416" s="110">
        <f t="shared" si="90"/>
        <v>0</v>
      </c>
      <c r="Y416" s="110">
        <f t="shared" si="91"/>
        <v>0</v>
      </c>
      <c r="Z416" s="110">
        <f t="shared" si="92"/>
        <v>0</v>
      </c>
      <c r="AA416" s="110">
        <f t="shared" si="87"/>
        <v>0</v>
      </c>
      <c r="AB416" s="110">
        <f t="shared" si="100"/>
        <v>0</v>
      </c>
      <c r="AC416" s="371" t="s">
        <v>163</v>
      </c>
      <c r="AD416" s="371" t="s">
        <v>148</v>
      </c>
      <c r="AE416" s="371" t="s">
        <v>149</v>
      </c>
      <c r="AF416" s="371"/>
    </row>
    <row r="417" spans="1:32" ht="13.5" hidden="1" thickBot="1" x14ac:dyDescent="0.25">
      <c r="A417" s="14" t="str">
        <f t="shared" si="97"/>
        <v/>
      </c>
      <c r="B417" s="21" t="s">
        <v>465</v>
      </c>
      <c r="C417" s="321"/>
      <c r="D417" s="242"/>
      <c r="E417" s="280">
        <v>48</v>
      </c>
      <c r="F417" s="85" t="s">
        <v>0</v>
      </c>
      <c r="G417" s="298">
        <v>0.375</v>
      </c>
      <c r="H417" s="15" t="s">
        <v>66</v>
      </c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7">
        <f t="shared" si="98"/>
        <v>0</v>
      </c>
      <c r="T417" s="7" t="s">
        <v>748</v>
      </c>
      <c r="U417" s="66">
        <f>2.51*AF$398</f>
        <v>2.5099999999999998</v>
      </c>
      <c r="V417" s="31">
        <f t="shared" si="99"/>
        <v>0</v>
      </c>
      <c r="W417" s="35">
        <f>Rate!D$3</f>
        <v>34.5</v>
      </c>
      <c r="X417" s="110">
        <f t="shared" si="90"/>
        <v>0</v>
      </c>
      <c r="Y417" s="110">
        <f t="shared" si="91"/>
        <v>0</v>
      </c>
      <c r="Z417" s="110">
        <f t="shared" si="92"/>
        <v>0</v>
      </c>
      <c r="AA417" s="110">
        <f t="shared" si="87"/>
        <v>0</v>
      </c>
      <c r="AB417" s="110">
        <f t="shared" si="100"/>
        <v>0</v>
      </c>
      <c r="AC417" s="371" t="s">
        <v>163</v>
      </c>
      <c r="AD417" s="371" t="s">
        <v>148</v>
      </c>
      <c r="AE417" s="371" t="s">
        <v>149</v>
      </c>
      <c r="AF417" s="371"/>
    </row>
    <row r="418" spans="1:32" ht="13.5" hidden="1" thickBot="1" x14ac:dyDescent="0.25">
      <c r="A418" s="14" t="str">
        <f t="shared" si="97"/>
        <v/>
      </c>
      <c r="B418" s="21" t="s">
        <v>465</v>
      </c>
      <c r="C418" s="321"/>
      <c r="D418" s="242"/>
      <c r="E418" s="280">
        <v>0.5</v>
      </c>
      <c r="F418" s="85" t="s">
        <v>1</v>
      </c>
      <c r="G418" s="298">
        <v>0.14699999999999999</v>
      </c>
      <c r="H418" s="15" t="s">
        <v>66</v>
      </c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7">
        <f t="shared" si="98"/>
        <v>0</v>
      </c>
      <c r="T418" s="7" t="s">
        <v>748</v>
      </c>
      <c r="U418" s="66">
        <f>0.18*AF$398</f>
        <v>0.18</v>
      </c>
      <c r="V418" s="31">
        <f t="shared" si="99"/>
        <v>0</v>
      </c>
      <c r="W418" s="35">
        <f>Rate!D$3</f>
        <v>34.5</v>
      </c>
      <c r="X418" s="110">
        <f t="shared" si="90"/>
        <v>0</v>
      </c>
      <c r="Y418" s="110">
        <f t="shared" si="91"/>
        <v>0</v>
      </c>
      <c r="Z418" s="110">
        <f t="shared" si="92"/>
        <v>0</v>
      </c>
      <c r="AA418" s="110">
        <f t="shared" si="87"/>
        <v>0</v>
      </c>
      <c r="AB418" s="110">
        <f t="shared" si="100"/>
        <v>0</v>
      </c>
      <c r="AC418" s="371" t="s">
        <v>163</v>
      </c>
      <c r="AD418" s="371" t="s">
        <v>148</v>
      </c>
      <c r="AE418" s="371" t="s">
        <v>149</v>
      </c>
      <c r="AF418" s="371"/>
    </row>
    <row r="419" spans="1:32" ht="13.5" hidden="1" thickBot="1" x14ac:dyDescent="0.25">
      <c r="A419" s="14" t="str">
        <f t="shared" si="97"/>
        <v/>
      </c>
      <c r="B419" s="21" t="s">
        <v>465</v>
      </c>
      <c r="C419" s="321"/>
      <c r="D419" s="242"/>
      <c r="E419" s="280">
        <v>0.75</v>
      </c>
      <c r="F419" s="85" t="s">
        <v>1</v>
      </c>
      <c r="G419" s="298">
        <v>0.154</v>
      </c>
      <c r="H419" s="15" t="s">
        <v>66</v>
      </c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7">
        <f t="shared" si="98"/>
        <v>0</v>
      </c>
      <c r="T419" s="7" t="s">
        <v>748</v>
      </c>
      <c r="U419" s="66">
        <f>0.19*AF$398</f>
        <v>0.19</v>
      </c>
      <c r="V419" s="31">
        <f t="shared" si="99"/>
        <v>0</v>
      </c>
      <c r="W419" s="35">
        <f>Rate!D$3</f>
        <v>34.5</v>
      </c>
      <c r="X419" s="110">
        <f t="shared" si="90"/>
        <v>0</v>
      </c>
      <c r="Y419" s="110">
        <f t="shared" si="91"/>
        <v>0</v>
      </c>
      <c r="Z419" s="110">
        <f t="shared" si="92"/>
        <v>0</v>
      </c>
      <c r="AA419" s="110">
        <f t="shared" ref="AA419:AA478" si="101">IF(H419="E",G419*S419*W419,0)</f>
        <v>0</v>
      </c>
      <c r="AB419" s="110">
        <f t="shared" si="100"/>
        <v>0</v>
      </c>
      <c r="AC419" s="371" t="s">
        <v>163</v>
      </c>
      <c r="AD419" s="371" t="s">
        <v>148</v>
      </c>
      <c r="AE419" s="371" t="s">
        <v>149</v>
      </c>
      <c r="AF419" s="371"/>
    </row>
    <row r="420" spans="1:32" ht="13.5" hidden="1" thickBot="1" x14ac:dyDescent="0.25">
      <c r="A420" s="14" t="str">
        <f t="shared" si="97"/>
        <v/>
      </c>
      <c r="B420" s="21" t="s">
        <v>465</v>
      </c>
      <c r="C420" s="321"/>
      <c r="D420" s="242"/>
      <c r="E420" s="280">
        <v>1</v>
      </c>
      <c r="F420" s="85" t="s">
        <v>1</v>
      </c>
      <c r="G420" s="298">
        <v>0.17899999999999999</v>
      </c>
      <c r="H420" s="15" t="s">
        <v>66</v>
      </c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7">
        <f t="shared" si="98"/>
        <v>0</v>
      </c>
      <c r="T420" s="7" t="s">
        <v>748</v>
      </c>
      <c r="U420" s="66">
        <f>0.2*AF$398</f>
        <v>0.2</v>
      </c>
      <c r="V420" s="31">
        <f t="shared" si="99"/>
        <v>0</v>
      </c>
      <c r="W420" s="35">
        <f>Rate!D$3</f>
        <v>34.5</v>
      </c>
      <c r="X420" s="110">
        <f t="shared" si="90"/>
        <v>0</v>
      </c>
      <c r="Y420" s="110">
        <f t="shared" si="91"/>
        <v>0</v>
      </c>
      <c r="Z420" s="110">
        <f t="shared" si="92"/>
        <v>0</v>
      </c>
      <c r="AA420" s="110">
        <f t="shared" si="101"/>
        <v>0</v>
      </c>
      <c r="AB420" s="110">
        <f t="shared" si="100"/>
        <v>0</v>
      </c>
      <c r="AC420" s="371" t="s">
        <v>163</v>
      </c>
      <c r="AD420" s="371" t="s">
        <v>148</v>
      </c>
      <c r="AE420" s="371" t="s">
        <v>149</v>
      </c>
      <c r="AF420" s="371"/>
    </row>
    <row r="421" spans="1:32" ht="13.5" hidden="1" thickBot="1" x14ac:dyDescent="0.25">
      <c r="A421" s="14" t="str">
        <f t="shared" si="97"/>
        <v/>
      </c>
      <c r="B421" s="21" t="s">
        <v>465</v>
      </c>
      <c r="C421" s="321"/>
      <c r="D421" s="242"/>
      <c r="E421" s="280">
        <v>1.5</v>
      </c>
      <c r="F421" s="85" t="s">
        <v>1</v>
      </c>
      <c r="G421" s="298">
        <v>0.2</v>
      </c>
      <c r="H421" s="15" t="s">
        <v>66</v>
      </c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7">
        <f t="shared" si="98"/>
        <v>0</v>
      </c>
      <c r="T421" s="7" t="s">
        <v>748</v>
      </c>
      <c r="U421" s="66">
        <f>0.22*AF$398</f>
        <v>0.22</v>
      </c>
      <c r="V421" s="31">
        <f t="shared" si="99"/>
        <v>0</v>
      </c>
      <c r="W421" s="35">
        <f>Rate!D$3</f>
        <v>34.5</v>
      </c>
      <c r="X421" s="110">
        <f t="shared" si="90"/>
        <v>0</v>
      </c>
      <c r="Y421" s="110">
        <f t="shared" si="91"/>
        <v>0</v>
      </c>
      <c r="Z421" s="110">
        <f t="shared" si="92"/>
        <v>0</v>
      </c>
      <c r="AA421" s="110">
        <f t="shared" si="101"/>
        <v>0</v>
      </c>
      <c r="AB421" s="110">
        <f t="shared" si="100"/>
        <v>0</v>
      </c>
      <c r="AC421" s="371" t="s">
        <v>163</v>
      </c>
      <c r="AD421" s="371" t="s">
        <v>148</v>
      </c>
      <c r="AE421" s="371" t="s">
        <v>149</v>
      </c>
      <c r="AF421" s="371"/>
    </row>
    <row r="422" spans="1:32" ht="13.5" hidden="1" thickBot="1" x14ac:dyDescent="0.25">
      <c r="A422" s="14" t="str">
        <f t="shared" si="97"/>
        <v/>
      </c>
      <c r="B422" s="21" t="s">
        <v>465</v>
      </c>
      <c r="C422" s="321"/>
      <c r="D422" s="242"/>
      <c r="E422" s="280">
        <v>2</v>
      </c>
      <c r="F422" s="85" t="s">
        <v>1</v>
      </c>
      <c r="G422" s="298">
        <v>0.218</v>
      </c>
      <c r="H422" s="15" t="s">
        <v>66</v>
      </c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7">
        <f t="shared" si="98"/>
        <v>0</v>
      </c>
      <c r="T422" s="7" t="s">
        <v>748</v>
      </c>
      <c r="U422" s="66">
        <f>0.24*AF$398</f>
        <v>0.24</v>
      </c>
      <c r="V422" s="31">
        <f t="shared" si="99"/>
        <v>0</v>
      </c>
      <c r="W422" s="35">
        <f>Rate!D$3</f>
        <v>34.5</v>
      </c>
      <c r="X422" s="110">
        <f t="shared" si="90"/>
        <v>0</v>
      </c>
      <c r="Y422" s="110">
        <f t="shared" si="91"/>
        <v>0</v>
      </c>
      <c r="Z422" s="110">
        <f t="shared" si="92"/>
        <v>0</v>
      </c>
      <c r="AA422" s="110">
        <f t="shared" si="101"/>
        <v>0</v>
      </c>
      <c r="AB422" s="110">
        <f t="shared" si="100"/>
        <v>0</v>
      </c>
      <c r="AC422" s="371" t="s">
        <v>163</v>
      </c>
      <c r="AD422" s="371" t="s">
        <v>148</v>
      </c>
      <c r="AE422" s="371" t="s">
        <v>149</v>
      </c>
      <c r="AF422" s="371"/>
    </row>
    <row r="423" spans="1:32" ht="13.5" hidden="1" thickBot="1" x14ac:dyDescent="0.25">
      <c r="A423" s="14" t="str">
        <f t="shared" si="97"/>
        <v/>
      </c>
      <c r="B423" s="21" t="s">
        <v>465</v>
      </c>
      <c r="C423" s="321"/>
      <c r="D423" s="242"/>
      <c r="E423" s="280">
        <v>3</v>
      </c>
      <c r="F423" s="85" t="s">
        <v>1</v>
      </c>
      <c r="G423" s="298">
        <v>0.3</v>
      </c>
      <c r="H423" s="15" t="s">
        <v>66</v>
      </c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7">
        <f t="shared" si="98"/>
        <v>0</v>
      </c>
      <c r="T423" s="7" t="s">
        <v>748</v>
      </c>
      <c r="U423" s="66">
        <f>0.28*AF$398</f>
        <v>0.28000000000000003</v>
      </c>
      <c r="V423" s="31">
        <f t="shared" si="99"/>
        <v>0</v>
      </c>
      <c r="W423" s="35">
        <f>Rate!D$3</f>
        <v>34.5</v>
      </c>
      <c r="X423" s="110">
        <f t="shared" si="90"/>
        <v>0</v>
      </c>
      <c r="Y423" s="110">
        <f t="shared" si="91"/>
        <v>0</v>
      </c>
      <c r="Z423" s="110">
        <f t="shared" si="92"/>
        <v>0</v>
      </c>
      <c r="AA423" s="110">
        <f t="shared" si="101"/>
        <v>0</v>
      </c>
      <c r="AB423" s="110">
        <f t="shared" si="100"/>
        <v>0</v>
      </c>
      <c r="AC423" s="371" t="s">
        <v>163</v>
      </c>
      <c r="AD423" s="371" t="s">
        <v>148</v>
      </c>
      <c r="AE423" s="371" t="s">
        <v>149</v>
      </c>
      <c r="AF423" s="371"/>
    </row>
    <row r="424" spans="1:32" ht="13.5" hidden="1" thickBot="1" x14ac:dyDescent="0.25">
      <c r="A424" s="14" t="str">
        <f t="shared" si="97"/>
        <v/>
      </c>
      <c r="B424" s="21" t="s">
        <v>465</v>
      </c>
      <c r="C424" s="321"/>
      <c r="D424" s="242"/>
      <c r="E424" s="280">
        <v>4</v>
      </c>
      <c r="F424" s="85" t="s">
        <v>1</v>
      </c>
      <c r="G424" s="298">
        <v>0.33700000000000002</v>
      </c>
      <c r="H424" s="15" t="s">
        <v>66</v>
      </c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7">
        <f t="shared" si="98"/>
        <v>0</v>
      </c>
      <c r="T424" s="7" t="s">
        <v>748</v>
      </c>
      <c r="U424" s="66">
        <f>0.31*AF$398</f>
        <v>0.31</v>
      </c>
      <c r="V424" s="31">
        <f t="shared" si="99"/>
        <v>0</v>
      </c>
      <c r="W424" s="35">
        <f>Rate!D$3</f>
        <v>34.5</v>
      </c>
      <c r="X424" s="110">
        <f t="shared" si="90"/>
        <v>0</v>
      </c>
      <c r="Y424" s="110">
        <f t="shared" si="91"/>
        <v>0</v>
      </c>
      <c r="Z424" s="110">
        <f t="shared" si="92"/>
        <v>0</v>
      </c>
      <c r="AA424" s="110">
        <f t="shared" si="101"/>
        <v>0</v>
      </c>
      <c r="AB424" s="110">
        <f t="shared" si="100"/>
        <v>0</v>
      </c>
      <c r="AC424" s="371" t="s">
        <v>163</v>
      </c>
      <c r="AD424" s="371" t="s">
        <v>148</v>
      </c>
      <c r="AE424" s="371" t="s">
        <v>149</v>
      </c>
      <c r="AF424" s="371"/>
    </row>
    <row r="425" spans="1:32" ht="13.5" hidden="1" thickBot="1" x14ac:dyDescent="0.25">
      <c r="A425" s="14" t="str">
        <f t="shared" si="97"/>
        <v/>
      </c>
      <c r="B425" s="21" t="s">
        <v>465</v>
      </c>
      <c r="C425" s="321"/>
      <c r="D425" s="242"/>
      <c r="E425" s="280">
        <v>6</v>
      </c>
      <c r="F425" s="85" t="s">
        <v>1</v>
      </c>
      <c r="G425" s="298">
        <v>0.432</v>
      </c>
      <c r="H425" s="15" t="s">
        <v>66</v>
      </c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7">
        <f t="shared" si="98"/>
        <v>0</v>
      </c>
      <c r="T425" s="7" t="s">
        <v>748</v>
      </c>
      <c r="U425" s="66">
        <f>0.38*AF$398</f>
        <v>0.38</v>
      </c>
      <c r="V425" s="31">
        <f t="shared" si="99"/>
        <v>0</v>
      </c>
      <c r="W425" s="35">
        <f>Rate!D$3</f>
        <v>34.5</v>
      </c>
      <c r="X425" s="110">
        <f t="shared" si="90"/>
        <v>0</v>
      </c>
      <c r="Y425" s="110">
        <f t="shared" si="91"/>
        <v>0</v>
      </c>
      <c r="Z425" s="110">
        <f t="shared" si="92"/>
        <v>0</v>
      </c>
      <c r="AA425" s="110">
        <f t="shared" si="101"/>
        <v>0</v>
      </c>
      <c r="AB425" s="110">
        <f t="shared" si="100"/>
        <v>0</v>
      </c>
      <c r="AC425" s="371" t="s">
        <v>163</v>
      </c>
      <c r="AD425" s="371" t="s">
        <v>148</v>
      </c>
      <c r="AE425" s="371" t="s">
        <v>149</v>
      </c>
      <c r="AF425" s="371"/>
    </row>
    <row r="426" spans="1:32" ht="13.5" hidden="1" thickBot="1" x14ac:dyDescent="0.25">
      <c r="A426" s="14" t="str">
        <f t="shared" si="97"/>
        <v/>
      </c>
      <c r="B426" s="21" t="s">
        <v>465</v>
      </c>
      <c r="C426" s="321"/>
      <c r="D426" s="242"/>
      <c r="E426" s="280">
        <v>8</v>
      </c>
      <c r="F426" s="85" t="s">
        <v>1</v>
      </c>
      <c r="G426" s="298">
        <v>0.5</v>
      </c>
      <c r="H426" s="15" t="s">
        <v>66</v>
      </c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7">
        <f t="shared" si="98"/>
        <v>0</v>
      </c>
      <c r="T426" s="7" t="s">
        <v>748</v>
      </c>
      <c r="U426" s="66">
        <f>0.48*AF$398</f>
        <v>0.48</v>
      </c>
      <c r="V426" s="31">
        <f t="shared" si="99"/>
        <v>0</v>
      </c>
      <c r="W426" s="35">
        <f>Rate!D$3</f>
        <v>34.5</v>
      </c>
      <c r="X426" s="110">
        <f t="shared" si="90"/>
        <v>0</v>
      </c>
      <c r="Y426" s="110">
        <f t="shared" si="91"/>
        <v>0</v>
      </c>
      <c r="Z426" s="110">
        <f t="shared" si="92"/>
        <v>0</v>
      </c>
      <c r="AA426" s="110">
        <f t="shared" si="101"/>
        <v>0</v>
      </c>
      <c r="AB426" s="110">
        <f t="shared" si="100"/>
        <v>0</v>
      </c>
      <c r="AC426" s="371" t="s">
        <v>163</v>
      </c>
      <c r="AD426" s="371" t="s">
        <v>148</v>
      </c>
      <c r="AE426" s="371" t="s">
        <v>149</v>
      </c>
      <c r="AF426" s="371"/>
    </row>
    <row r="427" spans="1:32" ht="13.5" hidden="1" thickBot="1" x14ac:dyDescent="0.25">
      <c r="A427" s="14" t="str">
        <f t="shared" si="97"/>
        <v/>
      </c>
      <c r="B427" s="21" t="s">
        <v>465</v>
      </c>
      <c r="C427" s="321"/>
      <c r="D427" s="242"/>
      <c r="E427" s="280">
        <v>10</v>
      </c>
      <c r="F427" s="85" t="s">
        <v>1</v>
      </c>
      <c r="G427" s="298">
        <v>0.5</v>
      </c>
      <c r="H427" s="15" t="s">
        <v>66</v>
      </c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7">
        <f t="shared" si="98"/>
        <v>0</v>
      </c>
      <c r="T427" s="7" t="s">
        <v>748</v>
      </c>
      <c r="U427" s="66">
        <f>0.6*AF$398</f>
        <v>0.6</v>
      </c>
      <c r="V427" s="31">
        <f t="shared" si="99"/>
        <v>0</v>
      </c>
      <c r="W427" s="35">
        <f>Rate!D$3</f>
        <v>34.5</v>
      </c>
      <c r="X427" s="110">
        <f t="shared" si="90"/>
        <v>0</v>
      </c>
      <c r="Y427" s="110">
        <f t="shared" si="91"/>
        <v>0</v>
      </c>
      <c r="Z427" s="110">
        <f t="shared" si="92"/>
        <v>0</v>
      </c>
      <c r="AA427" s="110">
        <f t="shared" si="101"/>
        <v>0</v>
      </c>
      <c r="AB427" s="110">
        <f t="shared" si="100"/>
        <v>0</v>
      </c>
      <c r="AC427" s="371" t="s">
        <v>163</v>
      </c>
      <c r="AD427" s="371" t="s">
        <v>148</v>
      </c>
      <c r="AE427" s="371" t="s">
        <v>149</v>
      </c>
      <c r="AF427" s="371"/>
    </row>
    <row r="428" spans="1:32" ht="13.5" hidden="1" thickBot="1" x14ac:dyDescent="0.25">
      <c r="A428" s="14" t="str">
        <f t="shared" si="97"/>
        <v/>
      </c>
      <c r="B428" s="21" t="s">
        <v>465</v>
      </c>
      <c r="C428" s="321"/>
      <c r="D428" s="242"/>
      <c r="E428" s="280">
        <v>12</v>
      </c>
      <c r="F428" s="85" t="s">
        <v>1</v>
      </c>
      <c r="G428" s="298">
        <v>0.5</v>
      </c>
      <c r="H428" s="15" t="s">
        <v>66</v>
      </c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7">
        <f t="shared" si="98"/>
        <v>0</v>
      </c>
      <c r="T428" s="7" t="s">
        <v>748</v>
      </c>
      <c r="U428" s="66">
        <f>0.73*AF$398</f>
        <v>0.73</v>
      </c>
      <c r="V428" s="31">
        <f t="shared" si="99"/>
        <v>0</v>
      </c>
      <c r="W428" s="35">
        <f>Rate!D$3</f>
        <v>34.5</v>
      </c>
      <c r="X428" s="110">
        <f t="shared" si="90"/>
        <v>0</v>
      </c>
      <c r="Y428" s="110">
        <f t="shared" si="91"/>
        <v>0</v>
      </c>
      <c r="Z428" s="110">
        <f t="shared" si="92"/>
        <v>0</v>
      </c>
      <c r="AA428" s="110">
        <f t="shared" si="101"/>
        <v>0</v>
      </c>
      <c r="AB428" s="110">
        <f t="shared" si="100"/>
        <v>0</v>
      </c>
      <c r="AC428" s="371" t="s">
        <v>163</v>
      </c>
      <c r="AD428" s="371" t="s">
        <v>148</v>
      </c>
      <c r="AE428" s="371" t="s">
        <v>149</v>
      </c>
      <c r="AF428" s="371"/>
    </row>
    <row r="429" spans="1:32" ht="13.5" hidden="1" thickBot="1" x14ac:dyDescent="0.25">
      <c r="A429" s="14" t="str">
        <f t="shared" si="97"/>
        <v/>
      </c>
      <c r="B429" s="21" t="s">
        <v>465</v>
      </c>
      <c r="C429" s="321"/>
      <c r="D429" s="242"/>
      <c r="E429" s="280">
        <v>14</v>
      </c>
      <c r="F429" s="85" t="s">
        <v>1</v>
      </c>
      <c r="G429" s="298">
        <v>0.5</v>
      </c>
      <c r="H429" s="15" t="s">
        <v>66</v>
      </c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7">
        <f t="shared" si="98"/>
        <v>0</v>
      </c>
      <c r="T429" s="7" t="s">
        <v>748</v>
      </c>
      <c r="U429" s="66">
        <f>0.87*AF$398</f>
        <v>0.87</v>
      </c>
      <c r="V429" s="31">
        <f t="shared" si="99"/>
        <v>0</v>
      </c>
      <c r="W429" s="35">
        <f>Rate!D$3</f>
        <v>34.5</v>
      </c>
      <c r="X429" s="110">
        <f t="shared" si="90"/>
        <v>0</v>
      </c>
      <c r="Y429" s="110">
        <f t="shared" si="91"/>
        <v>0</v>
      </c>
      <c r="Z429" s="110">
        <f t="shared" si="92"/>
        <v>0</v>
      </c>
      <c r="AA429" s="110">
        <f t="shared" si="101"/>
        <v>0</v>
      </c>
      <c r="AB429" s="110">
        <f t="shared" si="100"/>
        <v>0</v>
      </c>
      <c r="AC429" s="371" t="s">
        <v>163</v>
      </c>
      <c r="AD429" s="371" t="s">
        <v>148</v>
      </c>
      <c r="AE429" s="371" t="s">
        <v>149</v>
      </c>
      <c r="AF429" s="371"/>
    </row>
    <row r="430" spans="1:32" ht="13.5" hidden="1" thickBot="1" x14ac:dyDescent="0.25">
      <c r="A430" s="14" t="str">
        <f t="shared" si="97"/>
        <v/>
      </c>
      <c r="B430" s="21" t="s">
        <v>465</v>
      </c>
      <c r="C430" s="321"/>
      <c r="D430" s="242"/>
      <c r="E430" s="280">
        <v>16</v>
      </c>
      <c r="F430" s="85" t="s">
        <v>1</v>
      </c>
      <c r="G430" s="298">
        <v>0.5</v>
      </c>
      <c r="H430" s="15" t="s">
        <v>66</v>
      </c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7">
        <f t="shared" si="98"/>
        <v>0</v>
      </c>
      <c r="T430" s="7" t="s">
        <v>748</v>
      </c>
      <c r="U430" s="66">
        <f>1.02*AF$398</f>
        <v>1.02</v>
      </c>
      <c r="V430" s="31">
        <f t="shared" si="99"/>
        <v>0</v>
      </c>
      <c r="W430" s="35">
        <f>Rate!D$3</f>
        <v>34.5</v>
      </c>
      <c r="X430" s="110">
        <f t="shared" si="90"/>
        <v>0</v>
      </c>
      <c r="Y430" s="110">
        <f t="shared" si="91"/>
        <v>0</v>
      </c>
      <c r="Z430" s="110">
        <f t="shared" si="92"/>
        <v>0</v>
      </c>
      <c r="AA430" s="110">
        <f t="shared" si="101"/>
        <v>0</v>
      </c>
      <c r="AB430" s="110">
        <f t="shared" si="100"/>
        <v>0</v>
      </c>
      <c r="AC430" s="371" t="s">
        <v>163</v>
      </c>
      <c r="AD430" s="371" t="s">
        <v>148</v>
      </c>
      <c r="AE430" s="371" t="s">
        <v>149</v>
      </c>
      <c r="AF430" s="371"/>
    </row>
    <row r="431" spans="1:32" ht="13.5" hidden="1" thickBot="1" x14ac:dyDescent="0.25">
      <c r="A431" s="14" t="str">
        <f t="shared" ref="A431:A461" si="102">+IF(AB431&lt;&gt;0,"X","")</f>
        <v/>
      </c>
      <c r="B431" s="21" t="s">
        <v>465</v>
      </c>
      <c r="C431" s="321"/>
      <c r="D431" s="242"/>
      <c r="E431" s="280">
        <v>18</v>
      </c>
      <c r="F431" s="85" t="s">
        <v>1</v>
      </c>
      <c r="G431" s="298">
        <v>0.5</v>
      </c>
      <c r="H431" s="15" t="s">
        <v>66</v>
      </c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7">
        <f t="shared" ref="S431:S461" si="103">SUM(I431:R431)</f>
        <v>0</v>
      </c>
      <c r="T431" s="7" t="s">
        <v>748</v>
      </c>
      <c r="U431" s="66">
        <f>1.17*AF$398</f>
        <v>1.17</v>
      </c>
      <c r="V431" s="31">
        <f t="shared" ref="V431:V461" si="104">+S431*U431</f>
        <v>0</v>
      </c>
      <c r="W431" s="35">
        <f>Rate!D$3</f>
        <v>34.5</v>
      </c>
      <c r="X431" s="110">
        <f t="shared" si="90"/>
        <v>0</v>
      </c>
      <c r="Y431" s="110">
        <f t="shared" si="91"/>
        <v>0</v>
      </c>
      <c r="Z431" s="110">
        <f t="shared" si="92"/>
        <v>0</v>
      </c>
      <c r="AA431" s="110">
        <f t="shared" si="101"/>
        <v>0</v>
      </c>
      <c r="AB431" s="110">
        <f t="shared" ref="AB431:AB461" si="105">SUM(X431:AA431)</f>
        <v>0</v>
      </c>
      <c r="AC431" s="371" t="s">
        <v>163</v>
      </c>
      <c r="AD431" s="371" t="s">
        <v>148</v>
      </c>
      <c r="AE431" s="371" t="s">
        <v>149</v>
      </c>
      <c r="AF431" s="371"/>
    </row>
    <row r="432" spans="1:32" ht="13.5" hidden="1" thickBot="1" x14ac:dyDescent="0.25">
      <c r="A432" s="14" t="str">
        <f t="shared" si="102"/>
        <v/>
      </c>
      <c r="B432" s="21" t="s">
        <v>465</v>
      </c>
      <c r="C432" s="321"/>
      <c r="D432" s="242"/>
      <c r="E432" s="280">
        <v>20</v>
      </c>
      <c r="F432" s="85" t="s">
        <v>1</v>
      </c>
      <c r="G432" s="298">
        <v>0.5</v>
      </c>
      <c r="H432" s="15" t="s">
        <v>66</v>
      </c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7">
        <f t="shared" si="103"/>
        <v>0</v>
      </c>
      <c r="T432" s="7" t="s">
        <v>748</v>
      </c>
      <c r="U432" s="66">
        <f>1.32*AF$398</f>
        <v>1.32</v>
      </c>
      <c r="V432" s="31">
        <f t="shared" si="104"/>
        <v>0</v>
      </c>
      <c r="W432" s="35">
        <f>Rate!D$3</f>
        <v>34.5</v>
      </c>
      <c r="X432" s="110">
        <f t="shared" si="90"/>
        <v>0</v>
      </c>
      <c r="Y432" s="110">
        <f t="shared" si="91"/>
        <v>0</v>
      </c>
      <c r="Z432" s="110">
        <f t="shared" si="92"/>
        <v>0</v>
      </c>
      <c r="AA432" s="110">
        <f t="shared" si="101"/>
        <v>0</v>
      </c>
      <c r="AB432" s="110">
        <f t="shared" si="105"/>
        <v>0</v>
      </c>
      <c r="AC432" s="371" t="s">
        <v>163</v>
      </c>
      <c r="AD432" s="371" t="s">
        <v>148</v>
      </c>
      <c r="AE432" s="371" t="s">
        <v>149</v>
      </c>
      <c r="AF432" s="371"/>
    </row>
    <row r="433" spans="1:32" ht="13.5" hidden="1" thickBot="1" x14ac:dyDescent="0.25">
      <c r="A433" s="14" t="str">
        <f t="shared" si="102"/>
        <v/>
      </c>
      <c r="B433" s="21" t="s">
        <v>465</v>
      </c>
      <c r="C433" s="321"/>
      <c r="D433" s="242"/>
      <c r="E433" s="280">
        <v>24</v>
      </c>
      <c r="F433" s="85" t="s">
        <v>1</v>
      </c>
      <c r="G433" s="298">
        <v>0.5</v>
      </c>
      <c r="H433" s="15" t="s">
        <v>66</v>
      </c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7">
        <f t="shared" si="103"/>
        <v>0</v>
      </c>
      <c r="T433" s="7" t="s">
        <v>748</v>
      </c>
      <c r="U433" s="66">
        <f>1.49*AF$398</f>
        <v>1.49</v>
      </c>
      <c r="V433" s="31">
        <f t="shared" si="104"/>
        <v>0</v>
      </c>
      <c r="W433" s="35">
        <f>Rate!D$3</f>
        <v>34.5</v>
      </c>
      <c r="X433" s="110">
        <f t="shared" si="90"/>
        <v>0</v>
      </c>
      <c r="Y433" s="110">
        <f t="shared" si="91"/>
        <v>0</v>
      </c>
      <c r="Z433" s="110">
        <f t="shared" si="92"/>
        <v>0</v>
      </c>
      <c r="AA433" s="110">
        <f t="shared" si="101"/>
        <v>0</v>
      </c>
      <c r="AB433" s="110">
        <f t="shared" si="105"/>
        <v>0</v>
      </c>
      <c r="AC433" s="371" t="s">
        <v>163</v>
      </c>
      <c r="AD433" s="371" t="s">
        <v>148</v>
      </c>
      <c r="AE433" s="371" t="s">
        <v>149</v>
      </c>
      <c r="AF433" s="371"/>
    </row>
    <row r="434" spans="1:32" ht="13.5" hidden="1" thickBot="1" x14ac:dyDescent="0.25">
      <c r="A434" s="14" t="str">
        <f t="shared" si="102"/>
        <v/>
      </c>
      <c r="B434" s="21" t="s">
        <v>465</v>
      </c>
      <c r="C434" s="321"/>
      <c r="D434" s="242"/>
      <c r="E434" s="280">
        <v>30</v>
      </c>
      <c r="F434" s="85" t="s">
        <v>1</v>
      </c>
      <c r="G434" s="298">
        <v>0.5</v>
      </c>
      <c r="H434" s="15" t="s">
        <v>66</v>
      </c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7">
        <f t="shared" si="103"/>
        <v>0</v>
      </c>
      <c r="T434" s="7" t="s">
        <v>748</v>
      </c>
      <c r="U434" s="66">
        <f>1.49*AF$398</f>
        <v>1.49</v>
      </c>
      <c r="V434" s="31">
        <f t="shared" si="104"/>
        <v>0</v>
      </c>
      <c r="W434" s="35">
        <f>Rate!D$3</f>
        <v>34.5</v>
      </c>
      <c r="X434" s="110">
        <f t="shared" si="90"/>
        <v>0</v>
      </c>
      <c r="Y434" s="110">
        <f t="shared" si="91"/>
        <v>0</v>
      </c>
      <c r="Z434" s="110">
        <f t="shared" si="92"/>
        <v>0</v>
      </c>
      <c r="AA434" s="110">
        <f t="shared" si="101"/>
        <v>0</v>
      </c>
      <c r="AB434" s="110">
        <f t="shared" si="105"/>
        <v>0</v>
      </c>
      <c r="AC434" s="371" t="s">
        <v>163</v>
      </c>
      <c r="AD434" s="371" t="s">
        <v>148</v>
      </c>
      <c r="AE434" s="371" t="s">
        <v>149</v>
      </c>
      <c r="AF434" s="371"/>
    </row>
    <row r="435" spans="1:32" ht="13.5" hidden="1" thickBot="1" x14ac:dyDescent="0.25">
      <c r="A435" s="14" t="str">
        <f t="shared" si="102"/>
        <v/>
      </c>
      <c r="B435" s="21" t="s">
        <v>465</v>
      </c>
      <c r="C435" s="321"/>
      <c r="D435" s="242"/>
      <c r="E435" s="280">
        <v>36</v>
      </c>
      <c r="F435" s="85" t="s">
        <v>1</v>
      </c>
      <c r="G435" s="298">
        <v>0.5</v>
      </c>
      <c r="H435" s="15" t="s">
        <v>66</v>
      </c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7">
        <f t="shared" si="103"/>
        <v>0</v>
      </c>
      <c r="T435" s="7" t="s">
        <v>748</v>
      </c>
      <c r="U435" s="66">
        <f>1.88*AF$398</f>
        <v>1.88</v>
      </c>
      <c r="V435" s="31">
        <f t="shared" si="104"/>
        <v>0</v>
      </c>
      <c r="W435" s="35">
        <f>Rate!D$3</f>
        <v>34.5</v>
      </c>
      <c r="X435" s="110">
        <f t="shared" si="90"/>
        <v>0</v>
      </c>
      <c r="Y435" s="110">
        <f t="shared" si="91"/>
        <v>0</v>
      </c>
      <c r="Z435" s="110">
        <f t="shared" si="92"/>
        <v>0</v>
      </c>
      <c r="AA435" s="110">
        <f t="shared" si="101"/>
        <v>0</v>
      </c>
      <c r="AB435" s="110">
        <f t="shared" si="105"/>
        <v>0</v>
      </c>
      <c r="AC435" s="371" t="s">
        <v>163</v>
      </c>
      <c r="AD435" s="371" t="s">
        <v>148</v>
      </c>
      <c r="AE435" s="371" t="s">
        <v>149</v>
      </c>
      <c r="AF435" s="371"/>
    </row>
    <row r="436" spans="1:32" ht="13.5" hidden="1" thickBot="1" x14ac:dyDescent="0.25">
      <c r="A436" s="14" t="str">
        <f t="shared" si="102"/>
        <v/>
      </c>
      <c r="B436" s="21" t="s">
        <v>465</v>
      </c>
      <c r="C436" s="321"/>
      <c r="D436" s="242"/>
      <c r="E436" s="280">
        <v>48</v>
      </c>
      <c r="F436" s="85" t="s">
        <v>1</v>
      </c>
      <c r="G436" s="298">
        <v>0.5</v>
      </c>
      <c r="H436" s="15" t="s">
        <v>66</v>
      </c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7">
        <f t="shared" si="103"/>
        <v>0</v>
      </c>
      <c r="T436" s="7" t="s">
        <v>748</v>
      </c>
      <c r="U436" s="66">
        <f>2.64*AF$398</f>
        <v>2.64</v>
      </c>
      <c r="V436" s="31">
        <f t="shared" si="104"/>
        <v>0</v>
      </c>
      <c r="W436" s="35">
        <f>Rate!D$3</f>
        <v>34.5</v>
      </c>
      <c r="X436" s="110">
        <f t="shared" si="90"/>
        <v>0</v>
      </c>
      <c r="Y436" s="110">
        <f t="shared" si="91"/>
        <v>0</v>
      </c>
      <c r="Z436" s="110">
        <f t="shared" si="92"/>
        <v>0</v>
      </c>
      <c r="AA436" s="110">
        <f t="shared" si="101"/>
        <v>0</v>
      </c>
      <c r="AB436" s="110">
        <f t="shared" si="105"/>
        <v>0</v>
      </c>
      <c r="AC436" s="371" t="s">
        <v>163</v>
      </c>
      <c r="AD436" s="371" t="s">
        <v>148</v>
      </c>
      <c r="AE436" s="371" t="s">
        <v>149</v>
      </c>
      <c r="AF436" s="371"/>
    </row>
    <row r="437" spans="1:32" ht="13.5" hidden="1" thickBot="1" x14ac:dyDescent="0.25">
      <c r="A437" s="14" t="str">
        <f t="shared" si="102"/>
        <v/>
      </c>
      <c r="B437" s="21" t="s">
        <v>465</v>
      </c>
      <c r="C437" s="318"/>
      <c r="D437" s="267"/>
      <c r="E437" s="281">
        <v>12</v>
      </c>
      <c r="F437" s="288">
        <v>40</v>
      </c>
      <c r="G437" s="295">
        <v>0.40600000000000003</v>
      </c>
      <c r="H437" s="15" t="s">
        <v>66</v>
      </c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7">
        <f t="shared" si="103"/>
        <v>0</v>
      </c>
      <c r="T437" s="7" t="s">
        <v>748</v>
      </c>
      <c r="U437" s="66">
        <f>0.6*AF$398</f>
        <v>0.6</v>
      </c>
      <c r="V437" s="31">
        <f t="shared" si="104"/>
        <v>0</v>
      </c>
      <c r="W437" s="35">
        <f>Rate!D$3</f>
        <v>34.5</v>
      </c>
      <c r="X437" s="110">
        <f t="shared" si="90"/>
        <v>0</v>
      </c>
      <c r="Y437" s="110">
        <f t="shared" si="91"/>
        <v>0</v>
      </c>
      <c r="Z437" s="110">
        <f t="shared" si="92"/>
        <v>0</v>
      </c>
      <c r="AA437" s="110">
        <f t="shared" si="101"/>
        <v>0</v>
      </c>
      <c r="AB437" s="110">
        <f t="shared" si="105"/>
        <v>0</v>
      </c>
      <c r="AC437" s="371" t="s">
        <v>163</v>
      </c>
      <c r="AD437" s="371" t="s">
        <v>148</v>
      </c>
      <c r="AE437" s="371" t="s">
        <v>149</v>
      </c>
      <c r="AF437" s="371"/>
    </row>
    <row r="438" spans="1:32" ht="13.5" hidden="1" thickBot="1" x14ac:dyDescent="0.25">
      <c r="A438" s="14" t="str">
        <f t="shared" si="102"/>
        <v/>
      </c>
      <c r="B438" s="21" t="s">
        <v>465</v>
      </c>
      <c r="C438" s="318"/>
      <c r="D438" s="267"/>
      <c r="E438" s="281">
        <v>14</v>
      </c>
      <c r="F438" s="288">
        <v>40</v>
      </c>
      <c r="G438" s="295">
        <v>0.437</v>
      </c>
      <c r="H438" s="15" t="s">
        <v>66</v>
      </c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7">
        <f t="shared" ref="S438:S449" si="106">SUM(I438:R438)</f>
        <v>0</v>
      </c>
      <c r="T438" s="7" t="s">
        <v>748</v>
      </c>
      <c r="U438" s="66">
        <f>0.77*AF$398</f>
        <v>0.77</v>
      </c>
      <c r="V438" s="31">
        <f t="shared" si="104"/>
        <v>0</v>
      </c>
      <c r="W438" s="35">
        <f>Rate!D$3</f>
        <v>34.5</v>
      </c>
      <c r="X438" s="110">
        <f t="shared" si="90"/>
        <v>0</v>
      </c>
      <c r="Y438" s="110">
        <f t="shared" si="91"/>
        <v>0</v>
      </c>
      <c r="Z438" s="110">
        <f t="shared" si="92"/>
        <v>0</v>
      </c>
      <c r="AA438" s="110">
        <f t="shared" si="101"/>
        <v>0</v>
      </c>
      <c r="AB438" s="110">
        <f t="shared" ref="AB438:AB449" si="107">SUM(X438:AA438)</f>
        <v>0</v>
      </c>
      <c r="AC438" s="371" t="s">
        <v>163</v>
      </c>
      <c r="AD438" s="371" t="s">
        <v>148</v>
      </c>
      <c r="AE438" s="371" t="s">
        <v>149</v>
      </c>
      <c r="AF438" s="371"/>
    </row>
    <row r="439" spans="1:32" ht="13.5" hidden="1" thickBot="1" x14ac:dyDescent="0.25">
      <c r="A439" s="14" t="str">
        <f t="shared" si="102"/>
        <v/>
      </c>
      <c r="B439" s="21" t="s">
        <v>465</v>
      </c>
      <c r="C439" s="318"/>
      <c r="D439" s="267"/>
      <c r="E439" s="281">
        <v>16</v>
      </c>
      <c r="F439" s="288">
        <v>40</v>
      </c>
      <c r="G439" s="295">
        <v>0.5</v>
      </c>
      <c r="H439" s="15" t="s">
        <v>66</v>
      </c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7">
        <f t="shared" si="106"/>
        <v>0</v>
      </c>
      <c r="T439" s="7" t="s">
        <v>748</v>
      </c>
      <c r="U439" s="66">
        <f>1.02*AF$398</f>
        <v>1.02</v>
      </c>
      <c r="V439" s="31">
        <f t="shared" si="104"/>
        <v>0</v>
      </c>
      <c r="W439" s="35">
        <f>Rate!D$3</f>
        <v>34.5</v>
      </c>
      <c r="X439" s="110">
        <f t="shared" si="90"/>
        <v>0</v>
      </c>
      <c r="Y439" s="110">
        <f t="shared" si="91"/>
        <v>0</v>
      </c>
      <c r="Z439" s="110">
        <f t="shared" si="92"/>
        <v>0</v>
      </c>
      <c r="AA439" s="110">
        <f t="shared" si="101"/>
        <v>0</v>
      </c>
      <c r="AB439" s="110">
        <f t="shared" si="107"/>
        <v>0</v>
      </c>
      <c r="AC439" s="371" t="s">
        <v>163</v>
      </c>
      <c r="AD439" s="371" t="s">
        <v>148</v>
      </c>
      <c r="AE439" s="371" t="s">
        <v>149</v>
      </c>
      <c r="AF439" s="371"/>
    </row>
    <row r="440" spans="1:32" ht="13.5" hidden="1" thickBot="1" x14ac:dyDescent="0.25">
      <c r="A440" s="14" t="str">
        <f t="shared" si="102"/>
        <v/>
      </c>
      <c r="B440" s="21" t="s">
        <v>465</v>
      </c>
      <c r="C440" s="318"/>
      <c r="D440" s="267"/>
      <c r="E440" s="281">
        <v>18</v>
      </c>
      <c r="F440" s="288">
        <v>40</v>
      </c>
      <c r="G440" s="295">
        <v>0.56200000000000006</v>
      </c>
      <c r="H440" s="15" t="s">
        <v>66</v>
      </c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7">
        <f t="shared" si="106"/>
        <v>0</v>
      </c>
      <c r="T440" s="7" t="s">
        <v>748</v>
      </c>
      <c r="U440" s="66">
        <f>1.32*AF$398</f>
        <v>1.32</v>
      </c>
      <c r="V440" s="31">
        <f t="shared" si="104"/>
        <v>0</v>
      </c>
      <c r="W440" s="35">
        <f>Rate!D$3</f>
        <v>34.5</v>
      </c>
      <c r="X440" s="110">
        <f t="shared" si="90"/>
        <v>0</v>
      </c>
      <c r="Y440" s="110">
        <f t="shared" si="91"/>
        <v>0</v>
      </c>
      <c r="Z440" s="110">
        <f t="shared" si="92"/>
        <v>0</v>
      </c>
      <c r="AA440" s="110">
        <f t="shared" si="101"/>
        <v>0</v>
      </c>
      <c r="AB440" s="110">
        <f t="shared" si="107"/>
        <v>0</v>
      </c>
      <c r="AC440" s="371" t="s">
        <v>163</v>
      </c>
      <c r="AD440" s="371" t="s">
        <v>148</v>
      </c>
      <c r="AE440" s="371" t="s">
        <v>149</v>
      </c>
      <c r="AF440" s="371"/>
    </row>
    <row r="441" spans="1:32" ht="13.5" hidden="1" thickBot="1" x14ac:dyDescent="0.25">
      <c r="A441" s="14" t="str">
        <f t="shared" si="102"/>
        <v/>
      </c>
      <c r="B441" s="21" t="s">
        <v>465</v>
      </c>
      <c r="C441" s="318"/>
      <c r="D441" s="267"/>
      <c r="E441" s="281">
        <v>20</v>
      </c>
      <c r="F441" s="288">
        <v>40</v>
      </c>
      <c r="G441" s="295">
        <v>0.59299999999999997</v>
      </c>
      <c r="H441" s="15" t="s">
        <v>66</v>
      </c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7">
        <f t="shared" si="106"/>
        <v>0</v>
      </c>
      <c r="T441" s="7" t="s">
        <v>748</v>
      </c>
      <c r="U441" s="66">
        <f>1.57*AF$398</f>
        <v>1.57</v>
      </c>
      <c r="V441" s="31">
        <f t="shared" si="104"/>
        <v>0</v>
      </c>
      <c r="W441" s="35">
        <f>Rate!D$3</f>
        <v>34.5</v>
      </c>
      <c r="X441" s="110">
        <f t="shared" si="90"/>
        <v>0</v>
      </c>
      <c r="Y441" s="110">
        <f t="shared" si="91"/>
        <v>0</v>
      </c>
      <c r="Z441" s="110">
        <f t="shared" si="92"/>
        <v>0</v>
      </c>
      <c r="AA441" s="110">
        <f t="shared" si="101"/>
        <v>0</v>
      </c>
      <c r="AB441" s="110">
        <f t="shared" si="107"/>
        <v>0</v>
      </c>
      <c r="AC441" s="371" t="s">
        <v>163</v>
      </c>
      <c r="AD441" s="371" t="s">
        <v>148</v>
      </c>
      <c r="AE441" s="371" t="s">
        <v>149</v>
      </c>
      <c r="AF441" s="371"/>
    </row>
    <row r="442" spans="1:32" ht="13.5" hidden="1" thickBot="1" x14ac:dyDescent="0.25">
      <c r="A442" s="14" t="str">
        <f t="shared" si="102"/>
        <v/>
      </c>
      <c r="B442" s="21" t="s">
        <v>465</v>
      </c>
      <c r="C442" s="318"/>
      <c r="D442" s="267"/>
      <c r="E442" s="281">
        <v>24</v>
      </c>
      <c r="F442" s="288">
        <v>40</v>
      </c>
      <c r="G442" s="295">
        <v>0.68700000000000006</v>
      </c>
      <c r="H442" s="15" t="s">
        <v>66</v>
      </c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7">
        <f t="shared" si="106"/>
        <v>0</v>
      </c>
      <c r="T442" s="7" t="s">
        <v>748</v>
      </c>
      <c r="U442" s="66">
        <f>2.05*AF$398</f>
        <v>2.0499999999999998</v>
      </c>
      <c r="V442" s="31">
        <f t="shared" si="104"/>
        <v>0</v>
      </c>
      <c r="W442" s="35">
        <f>Rate!D$3</f>
        <v>34.5</v>
      </c>
      <c r="X442" s="110">
        <f t="shared" si="90"/>
        <v>0</v>
      </c>
      <c r="Y442" s="110">
        <f t="shared" si="91"/>
        <v>0</v>
      </c>
      <c r="Z442" s="110">
        <f t="shared" si="92"/>
        <v>0</v>
      </c>
      <c r="AA442" s="110">
        <f t="shared" si="101"/>
        <v>0</v>
      </c>
      <c r="AB442" s="110">
        <f t="shared" si="107"/>
        <v>0</v>
      </c>
      <c r="AC442" s="371" t="s">
        <v>163</v>
      </c>
      <c r="AD442" s="371" t="s">
        <v>148</v>
      </c>
      <c r="AE442" s="371" t="s">
        <v>149</v>
      </c>
      <c r="AF442" s="371"/>
    </row>
    <row r="443" spans="1:32" ht="13.5" hidden="1" thickBot="1" x14ac:dyDescent="0.25">
      <c r="A443" s="14" t="str">
        <f t="shared" si="102"/>
        <v/>
      </c>
      <c r="B443" s="21" t="s">
        <v>465</v>
      </c>
      <c r="C443" s="318"/>
      <c r="D443" s="267"/>
      <c r="E443" s="281">
        <v>10</v>
      </c>
      <c r="F443" s="288">
        <v>80</v>
      </c>
      <c r="G443" s="295">
        <v>0.59299999999999997</v>
      </c>
      <c r="H443" s="15" t="s">
        <v>66</v>
      </c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7">
        <f t="shared" si="106"/>
        <v>0</v>
      </c>
      <c r="T443" s="7" t="s">
        <v>748</v>
      </c>
      <c r="U443" s="66">
        <f>0.72*AF$398</f>
        <v>0.72</v>
      </c>
      <c r="V443" s="31">
        <f t="shared" si="104"/>
        <v>0</v>
      </c>
      <c r="W443" s="35">
        <f>Rate!D$3</f>
        <v>34.5</v>
      </c>
      <c r="X443" s="110">
        <f t="shared" ref="X443:X498" si="108">IF(H443="L",V443*W443,0)</f>
        <v>0</v>
      </c>
      <c r="Y443" s="110">
        <f t="shared" ref="Y443:Y498" si="109">IF(H443="M",S443*W443,0)</f>
        <v>0</v>
      </c>
      <c r="Z443" s="110">
        <f t="shared" ref="Z443:Z498" si="110">IF(H443="S",S443*W443,0)</f>
        <v>0</v>
      </c>
      <c r="AA443" s="110">
        <f t="shared" si="101"/>
        <v>0</v>
      </c>
      <c r="AB443" s="110">
        <f t="shared" si="107"/>
        <v>0</v>
      </c>
      <c r="AC443" s="371" t="s">
        <v>163</v>
      </c>
      <c r="AD443" s="371" t="s">
        <v>148</v>
      </c>
      <c r="AE443" s="371" t="s">
        <v>149</v>
      </c>
      <c r="AF443" s="371"/>
    </row>
    <row r="444" spans="1:32" ht="13.5" hidden="1" thickBot="1" x14ac:dyDescent="0.25">
      <c r="A444" s="14" t="str">
        <f t="shared" si="102"/>
        <v/>
      </c>
      <c r="B444" s="21" t="s">
        <v>465</v>
      </c>
      <c r="C444" s="318"/>
      <c r="D444" s="267"/>
      <c r="E444" s="281">
        <v>12</v>
      </c>
      <c r="F444" s="288">
        <v>80</v>
      </c>
      <c r="G444" s="295">
        <v>0.68700000000000006</v>
      </c>
      <c r="H444" s="15" t="s">
        <v>66</v>
      </c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7">
        <f t="shared" si="106"/>
        <v>0</v>
      </c>
      <c r="T444" s="7" t="s">
        <v>748</v>
      </c>
      <c r="U444" s="66">
        <f>1.01*AF$398</f>
        <v>1.01</v>
      </c>
      <c r="V444" s="31">
        <f t="shared" si="104"/>
        <v>0</v>
      </c>
      <c r="W444" s="35">
        <f>Rate!D$3</f>
        <v>34.5</v>
      </c>
      <c r="X444" s="110">
        <f t="shared" si="108"/>
        <v>0</v>
      </c>
      <c r="Y444" s="110">
        <f t="shared" si="109"/>
        <v>0</v>
      </c>
      <c r="Z444" s="110">
        <f t="shared" si="110"/>
        <v>0</v>
      </c>
      <c r="AA444" s="110">
        <f t="shared" si="101"/>
        <v>0</v>
      </c>
      <c r="AB444" s="110">
        <f t="shared" si="107"/>
        <v>0</v>
      </c>
      <c r="AC444" s="371" t="s">
        <v>163</v>
      </c>
      <c r="AD444" s="371" t="s">
        <v>148</v>
      </c>
      <c r="AE444" s="371" t="s">
        <v>149</v>
      </c>
      <c r="AF444" s="371"/>
    </row>
    <row r="445" spans="1:32" ht="13.5" hidden="1" thickBot="1" x14ac:dyDescent="0.25">
      <c r="A445" s="14" t="str">
        <f t="shared" si="102"/>
        <v/>
      </c>
      <c r="B445" s="21" t="s">
        <v>465</v>
      </c>
      <c r="C445" s="318"/>
      <c r="D445" s="267"/>
      <c r="E445" s="281">
        <v>14</v>
      </c>
      <c r="F445" s="288">
        <v>80</v>
      </c>
      <c r="G445" s="295">
        <v>0.75</v>
      </c>
      <c r="H445" s="15" t="s">
        <v>66</v>
      </c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7">
        <f t="shared" si="106"/>
        <v>0</v>
      </c>
      <c r="T445" s="7" t="s">
        <v>748</v>
      </c>
      <c r="U445" s="66">
        <f>1.31*AF$398</f>
        <v>1.31</v>
      </c>
      <c r="V445" s="31">
        <f t="shared" si="104"/>
        <v>0</v>
      </c>
      <c r="W445" s="35">
        <f>Rate!D$3</f>
        <v>34.5</v>
      </c>
      <c r="X445" s="110">
        <f t="shared" si="108"/>
        <v>0</v>
      </c>
      <c r="Y445" s="110">
        <f t="shared" si="109"/>
        <v>0</v>
      </c>
      <c r="Z445" s="110">
        <f t="shared" si="110"/>
        <v>0</v>
      </c>
      <c r="AA445" s="110">
        <f t="shared" si="101"/>
        <v>0</v>
      </c>
      <c r="AB445" s="110">
        <f t="shared" si="107"/>
        <v>0</v>
      </c>
      <c r="AC445" s="371" t="s">
        <v>163</v>
      </c>
      <c r="AD445" s="371" t="s">
        <v>148</v>
      </c>
      <c r="AE445" s="371" t="s">
        <v>149</v>
      </c>
      <c r="AF445" s="371"/>
    </row>
    <row r="446" spans="1:32" ht="13.5" hidden="1" thickBot="1" x14ac:dyDescent="0.25">
      <c r="A446" s="14" t="str">
        <f t="shared" si="102"/>
        <v/>
      </c>
      <c r="B446" s="21" t="s">
        <v>465</v>
      </c>
      <c r="C446" s="318"/>
      <c r="D446" s="267"/>
      <c r="E446" s="281">
        <v>16</v>
      </c>
      <c r="F446" s="288">
        <v>80</v>
      </c>
      <c r="G446" s="295">
        <v>0.84299999999999997</v>
      </c>
      <c r="H446" s="15" t="s">
        <v>66</v>
      </c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7">
        <f t="shared" si="106"/>
        <v>0</v>
      </c>
      <c r="T446" s="7" t="s">
        <v>748</v>
      </c>
      <c r="U446" s="66">
        <f>1.72*AF$398</f>
        <v>1.72</v>
      </c>
      <c r="V446" s="31">
        <f t="shared" si="104"/>
        <v>0</v>
      </c>
      <c r="W446" s="35">
        <f>Rate!D$3</f>
        <v>34.5</v>
      </c>
      <c r="X446" s="110">
        <f t="shared" si="108"/>
        <v>0</v>
      </c>
      <c r="Y446" s="110">
        <f t="shared" si="109"/>
        <v>0</v>
      </c>
      <c r="Z446" s="110">
        <f t="shared" si="110"/>
        <v>0</v>
      </c>
      <c r="AA446" s="110">
        <f t="shared" si="101"/>
        <v>0</v>
      </c>
      <c r="AB446" s="110">
        <f t="shared" si="107"/>
        <v>0</v>
      </c>
      <c r="AC446" s="371" t="s">
        <v>163</v>
      </c>
      <c r="AD446" s="371" t="s">
        <v>148</v>
      </c>
      <c r="AE446" s="371" t="s">
        <v>149</v>
      </c>
      <c r="AF446" s="371"/>
    </row>
    <row r="447" spans="1:32" ht="13.5" hidden="1" thickBot="1" x14ac:dyDescent="0.25">
      <c r="A447" s="14" t="str">
        <f t="shared" si="102"/>
        <v/>
      </c>
      <c r="B447" s="21" t="s">
        <v>465</v>
      </c>
      <c r="C447" s="318"/>
      <c r="D447" s="267"/>
      <c r="E447" s="281">
        <v>18</v>
      </c>
      <c r="F447" s="288">
        <v>80</v>
      </c>
      <c r="G447" s="295">
        <v>0.93700000000000006</v>
      </c>
      <c r="H447" s="15" t="s">
        <v>66</v>
      </c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7">
        <f t="shared" si="106"/>
        <v>0</v>
      </c>
      <c r="T447" s="7" t="s">
        <v>748</v>
      </c>
      <c r="U447" s="66">
        <f>2.2*AF$398</f>
        <v>2.2000000000000002</v>
      </c>
      <c r="V447" s="31">
        <f t="shared" si="104"/>
        <v>0</v>
      </c>
      <c r="W447" s="35">
        <f>Rate!D$3</f>
        <v>34.5</v>
      </c>
      <c r="X447" s="110">
        <f t="shared" si="108"/>
        <v>0</v>
      </c>
      <c r="Y447" s="110">
        <f t="shared" si="109"/>
        <v>0</v>
      </c>
      <c r="Z447" s="110">
        <f t="shared" si="110"/>
        <v>0</v>
      </c>
      <c r="AA447" s="110">
        <f t="shared" si="101"/>
        <v>0</v>
      </c>
      <c r="AB447" s="110">
        <f t="shared" si="107"/>
        <v>0</v>
      </c>
      <c r="AC447" s="371" t="s">
        <v>163</v>
      </c>
      <c r="AD447" s="371" t="s">
        <v>148</v>
      </c>
      <c r="AE447" s="371" t="s">
        <v>149</v>
      </c>
      <c r="AF447" s="371"/>
    </row>
    <row r="448" spans="1:32" ht="13.5" hidden="1" thickBot="1" x14ac:dyDescent="0.25">
      <c r="A448" s="14" t="str">
        <f t="shared" si="102"/>
        <v/>
      </c>
      <c r="B448" s="21" t="s">
        <v>465</v>
      </c>
      <c r="C448" s="318"/>
      <c r="D448" s="267"/>
      <c r="E448" s="281">
        <v>20</v>
      </c>
      <c r="F448" s="288">
        <v>80</v>
      </c>
      <c r="G448" s="295">
        <v>1.0309999999999999</v>
      </c>
      <c r="H448" s="15" t="s">
        <v>66</v>
      </c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7">
        <f t="shared" si="106"/>
        <v>0</v>
      </c>
      <c r="T448" s="7" t="s">
        <v>748</v>
      </c>
      <c r="U448" s="66">
        <f>2.73*AF$398</f>
        <v>2.73</v>
      </c>
      <c r="V448" s="31">
        <f t="shared" si="104"/>
        <v>0</v>
      </c>
      <c r="W448" s="35">
        <f>Rate!D$3</f>
        <v>34.5</v>
      </c>
      <c r="X448" s="110">
        <f t="shared" si="108"/>
        <v>0</v>
      </c>
      <c r="Y448" s="110">
        <f t="shared" si="109"/>
        <v>0</v>
      </c>
      <c r="Z448" s="110">
        <f t="shared" si="110"/>
        <v>0</v>
      </c>
      <c r="AA448" s="110">
        <f t="shared" si="101"/>
        <v>0</v>
      </c>
      <c r="AB448" s="110">
        <f t="shared" si="107"/>
        <v>0</v>
      </c>
      <c r="AC448" s="371" t="s">
        <v>163</v>
      </c>
      <c r="AD448" s="371" t="s">
        <v>148</v>
      </c>
      <c r="AE448" s="371" t="s">
        <v>149</v>
      </c>
      <c r="AF448" s="371"/>
    </row>
    <row r="449" spans="1:32" ht="13.5" hidden="1" thickBot="1" x14ac:dyDescent="0.25">
      <c r="A449" s="14" t="str">
        <f t="shared" si="102"/>
        <v/>
      </c>
      <c r="B449" s="21" t="s">
        <v>465</v>
      </c>
      <c r="C449" s="318"/>
      <c r="D449" s="267"/>
      <c r="E449" s="281">
        <v>24</v>
      </c>
      <c r="F449" s="288">
        <v>80</v>
      </c>
      <c r="G449" s="295">
        <v>1.218</v>
      </c>
      <c r="H449" s="15" t="s">
        <v>66</v>
      </c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7">
        <f t="shared" si="106"/>
        <v>0</v>
      </c>
      <c r="T449" s="7" t="s">
        <v>748</v>
      </c>
      <c r="U449" s="66">
        <f>3.63*AF$398</f>
        <v>3.63</v>
      </c>
      <c r="V449" s="31">
        <f t="shared" si="104"/>
        <v>0</v>
      </c>
      <c r="W449" s="35">
        <f>Rate!D$3</f>
        <v>34.5</v>
      </c>
      <c r="X449" s="110">
        <f t="shared" si="108"/>
        <v>0</v>
      </c>
      <c r="Y449" s="110">
        <f t="shared" si="109"/>
        <v>0</v>
      </c>
      <c r="Z449" s="110">
        <f t="shared" si="110"/>
        <v>0</v>
      </c>
      <c r="AA449" s="110">
        <f t="shared" si="101"/>
        <v>0</v>
      </c>
      <c r="AB449" s="110">
        <f t="shared" si="107"/>
        <v>0</v>
      </c>
      <c r="AC449" s="371" t="s">
        <v>163</v>
      </c>
      <c r="AD449" s="371" t="s">
        <v>148</v>
      </c>
      <c r="AE449" s="371" t="s">
        <v>149</v>
      </c>
      <c r="AF449" s="371"/>
    </row>
    <row r="450" spans="1:32" ht="13.5" hidden="1" thickBot="1" x14ac:dyDescent="0.25">
      <c r="A450" s="14" t="str">
        <f t="shared" si="102"/>
        <v/>
      </c>
      <c r="B450" s="21" t="s">
        <v>465</v>
      </c>
      <c r="C450" s="321"/>
      <c r="D450" s="242"/>
      <c r="E450" s="280">
        <v>0.5</v>
      </c>
      <c r="F450" s="85">
        <v>160</v>
      </c>
      <c r="G450" s="298">
        <v>0.187</v>
      </c>
      <c r="H450" s="15" t="s">
        <v>66</v>
      </c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7">
        <f t="shared" si="103"/>
        <v>0</v>
      </c>
      <c r="T450" s="7" t="s">
        <v>748</v>
      </c>
      <c r="U450" s="66">
        <f>0.2*AF$398</f>
        <v>0.2</v>
      </c>
      <c r="V450" s="31">
        <f t="shared" si="104"/>
        <v>0</v>
      </c>
      <c r="W450" s="35">
        <f>Rate!D$3</f>
        <v>34.5</v>
      </c>
      <c r="X450" s="110">
        <f t="shared" si="108"/>
        <v>0</v>
      </c>
      <c r="Y450" s="110">
        <f t="shared" si="109"/>
        <v>0</v>
      </c>
      <c r="Z450" s="110">
        <f t="shared" si="110"/>
        <v>0</v>
      </c>
      <c r="AA450" s="110">
        <f t="shared" si="101"/>
        <v>0</v>
      </c>
      <c r="AB450" s="110">
        <f t="shared" si="105"/>
        <v>0</v>
      </c>
      <c r="AC450" s="371" t="s">
        <v>163</v>
      </c>
      <c r="AD450" s="371" t="s">
        <v>148</v>
      </c>
      <c r="AE450" s="371" t="s">
        <v>149</v>
      </c>
      <c r="AF450" s="371"/>
    </row>
    <row r="451" spans="1:32" ht="13.5" hidden="1" thickBot="1" x14ac:dyDescent="0.25">
      <c r="A451" s="14" t="str">
        <f t="shared" si="102"/>
        <v/>
      </c>
      <c r="B451" s="21" t="s">
        <v>465</v>
      </c>
      <c r="C451" s="321"/>
      <c r="D451" s="242"/>
      <c r="E451" s="280">
        <v>0.75</v>
      </c>
      <c r="F451" s="85">
        <v>160</v>
      </c>
      <c r="G451" s="298">
        <v>0.218</v>
      </c>
      <c r="H451" s="15" t="s">
        <v>66</v>
      </c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7">
        <f t="shared" si="103"/>
        <v>0</v>
      </c>
      <c r="T451" s="7" t="s">
        <v>748</v>
      </c>
      <c r="U451" s="66">
        <f>0.21*AF$398</f>
        <v>0.21</v>
      </c>
      <c r="V451" s="31">
        <f t="shared" si="104"/>
        <v>0</v>
      </c>
      <c r="W451" s="35">
        <f>Rate!D$3</f>
        <v>34.5</v>
      </c>
      <c r="X451" s="110">
        <f t="shared" si="108"/>
        <v>0</v>
      </c>
      <c r="Y451" s="110">
        <f t="shared" si="109"/>
        <v>0</v>
      </c>
      <c r="Z451" s="110">
        <f t="shared" si="110"/>
        <v>0</v>
      </c>
      <c r="AA451" s="110">
        <f t="shared" si="101"/>
        <v>0</v>
      </c>
      <c r="AB451" s="110">
        <f t="shared" si="105"/>
        <v>0</v>
      </c>
      <c r="AC451" s="371" t="s">
        <v>163</v>
      </c>
      <c r="AD451" s="371" t="s">
        <v>148</v>
      </c>
      <c r="AE451" s="371" t="s">
        <v>149</v>
      </c>
      <c r="AF451" s="371"/>
    </row>
    <row r="452" spans="1:32" ht="13.5" hidden="1" thickBot="1" x14ac:dyDescent="0.25">
      <c r="A452" s="14" t="str">
        <f t="shared" si="102"/>
        <v/>
      </c>
      <c r="B452" s="21" t="s">
        <v>465</v>
      </c>
      <c r="C452" s="321"/>
      <c r="D452" s="242"/>
      <c r="E452" s="280">
        <v>1</v>
      </c>
      <c r="F452" s="85">
        <v>160</v>
      </c>
      <c r="G452" s="298">
        <v>0.25</v>
      </c>
      <c r="H452" s="15" t="s">
        <v>66</v>
      </c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7">
        <f t="shared" si="103"/>
        <v>0</v>
      </c>
      <c r="T452" s="7" t="s">
        <v>748</v>
      </c>
      <c r="U452" s="66">
        <f>0.23*AF$398</f>
        <v>0.23</v>
      </c>
      <c r="V452" s="31">
        <f t="shared" si="104"/>
        <v>0</v>
      </c>
      <c r="W452" s="35">
        <f>Rate!D$3</f>
        <v>34.5</v>
      </c>
      <c r="X452" s="110">
        <f t="shared" si="108"/>
        <v>0</v>
      </c>
      <c r="Y452" s="110">
        <f t="shared" si="109"/>
        <v>0</v>
      </c>
      <c r="Z452" s="110">
        <f t="shared" si="110"/>
        <v>0</v>
      </c>
      <c r="AA452" s="110">
        <f t="shared" si="101"/>
        <v>0</v>
      </c>
      <c r="AB452" s="110">
        <f t="shared" si="105"/>
        <v>0</v>
      </c>
      <c r="AC452" s="371" t="s">
        <v>163</v>
      </c>
      <c r="AD452" s="371" t="s">
        <v>148</v>
      </c>
      <c r="AE452" s="371" t="s">
        <v>149</v>
      </c>
      <c r="AF452" s="371"/>
    </row>
    <row r="453" spans="1:32" ht="13.5" hidden="1" thickBot="1" x14ac:dyDescent="0.25">
      <c r="A453" s="14" t="str">
        <f t="shared" si="102"/>
        <v/>
      </c>
      <c r="B453" s="21" t="s">
        <v>465</v>
      </c>
      <c r="C453" s="321"/>
      <c r="D453" s="242"/>
      <c r="E453" s="280">
        <v>1.5</v>
      </c>
      <c r="F453" s="85">
        <v>160</v>
      </c>
      <c r="G453" s="298">
        <v>0.28100000000000003</v>
      </c>
      <c r="H453" s="15" t="s">
        <v>66</v>
      </c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7">
        <f t="shared" si="103"/>
        <v>0</v>
      </c>
      <c r="T453" s="7" t="s">
        <v>748</v>
      </c>
      <c r="U453" s="66">
        <f>0.27*AF$398</f>
        <v>0.27</v>
      </c>
      <c r="V453" s="31">
        <f t="shared" si="104"/>
        <v>0</v>
      </c>
      <c r="W453" s="35">
        <f>Rate!D$3</f>
        <v>34.5</v>
      </c>
      <c r="X453" s="110">
        <f t="shared" si="108"/>
        <v>0</v>
      </c>
      <c r="Y453" s="110">
        <f t="shared" si="109"/>
        <v>0</v>
      </c>
      <c r="Z453" s="110">
        <f t="shared" si="110"/>
        <v>0</v>
      </c>
      <c r="AA453" s="110">
        <f t="shared" si="101"/>
        <v>0</v>
      </c>
      <c r="AB453" s="110">
        <f t="shared" si="105"/>
        <v>0</v>
      </c>
      <c r="AC453" s="371" t="s">
        <v>163</v>
      </c>
      <c r="AD453" s="371" t="s">
        <v>148</v>
      </c>
      <c r="AE453" s="371" t="s">
        <v>149</v>
      </c>
      <c r="AF453" s="371"/>
    </row>
    <row r="454" spans="1:32" ht="13.5" hidden="1" thickBot="1" x14ac:dyDescent="0.25">
      <c r="A454" s="14" t="str">
        <f t="shared" si="102"/>
        <v/>
      </c>
      <c r="B454" s="21" t="s">
        <v>465</v>
      </c>
      <c r="C454" s="321"/>
      <c r="D454" s="242"/>
      <c r="E454" s="280">
        <v>2</v>
      </c>
      <c r="F454" s="85">
        <v>160</v>
      </c>
      <c r="G454" s="298">
        <v>0.34300000000000003</v>
      </c>
      <c r="H454" s="15" t="s">
        <v>66</v>
      </c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7">
        <f t="shared" si="103"/>
        <v>0</v>
      </c>
      <c r="T454" s="7" t="s">
        <v>748</v>
      </c>
      <c r="U454" s="66">
        <f>0.29*AF$398</f>
        <v>0.28999999999999998</v>
      </c>
      <c r="V454" s="31">
        <f t="shared" si="104"/>
        <v>0</v>
      </c>
      <c r="W454" s="35">
        <f>Rate!D$3</f>
        <v>34.5</v>
      </c>
      <c r="X454" s="110">
        <f t="shared" si="108"/>
        <v>0</v>
      </c>
      <c r="Y454" s="110">
        <f t="shared" si="109"/>
        <v>0</v>
      </c>
      <c r="Z454" s="110">
        <f t="shared" si="110"/>
        <v>0</v>
      </c>
      <c r="AA454" s="110">
        <f t="shared" si="101"/>
        <v>0</v>
      </c>
      <c r="AB454" s="110">
        <f t="shared" si="105"/>
        <v>0</v>
      </c>
      <c r="AC454" s="371" t="s">
        <v>163</v>
      </c>
      <c r="AD454" s="371" t="s">
        <v>148</v>
      </c>
      <c r="AE454" s="371" t="s">
        <v>149</v>
      </c>
      <c r="AF454" s="371"/>
    </row>
    <row r="455" spans="1:32" ht="13.5" hidden="1" thickBot="1" x14ac:dyDescent="0.25">
      <c r="A455" s="14" t="str">
        <f t="shared" si="102"/>
        <v/>
      </c>
      <c r="B455" s="21" t="s">
        <v>465</v>
      </c>
      <c r="C455" s="321"/>
      <c r="D455" s="242"/>
      <c r="E455" s="280">
        <v>3</v>
      </c>
      <c r="F455" s="85">
        <v>160</v>
      </c>
      <c r="G455" s="298">
        <v>0.437</v>
      </c>
      <c r="H455" s="15" t="s">
        <v>66</v>
      </c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7">
        <f t="shared" si="103"/>
        <v>0</v>
      </c>
      <c r="T455" s="7" t="s">
        <v>748</v>
      </c>
      <c r="U455" s="66">
        <f>0.35*AF$398</f>
        <v>0.35</v>
      </c>
      <c r="V455" s="31">
        <f t="shared" si="104"/>
        <v>0</v>
      </c>
      <c r="W455" s="35">
        <f>Rate!D$3</f>
        <v>34.5</v>
      </c>
      <c r="X455" s="110">
        <f t="shared" si="108"/>
        <v>0</v>
      </c>
      <c r="Y455" s="110">
        <f t="shared" si="109"/>
        <v>0</v>
      </c>
      <c r="Z455" s="110">
        <f t="shared" si="110"/>
        <v>0</v>
      </c>
      <c r="AA455" s="110">
        <f t="shared" si="101"/>
        <v>0</v>
      </c>
      <c r="AB455" s="110">
        <f t="shared" si="105"/>
        <v>0</v>
      </c>
      <c r="AC455" s="371" t="s">
        <v>163</v>
      </c>
      <c r="AD455" s="371" t="s">
        <v>148</v>
      </c>
      <c r="AE455" s="371" t="s">
        <v>149</v>
      </c>
      <c r="AF455" s="371"/>
    </row>
    <row r="456" spans="1:32" ht="13.5" hidden="1" thickBot="1" x14ac:dyDescent="0.25">
      <c r="A456" s="14" t="str">
        <f t="shared" si="102"/>
        <v/>
      </c>
      <c r="B456" s="21" t="s">
        <v>465</v>
      </c>
      <c r="C456" s="321"/>
      <c r="D456" s="242"/>
      <c r="E456" s="280">
        <v>4</v>
      </c>
      <c r="F456" s="85">
        <v>160</v>
      </c>
      <c r="G456" s="298">
        <v>0.53100000000000003</v>
      </c>
      <c r="H456" s="15" t="s">
        <v>66</v>
      </c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7">
        <f t="shared" si="103"/>
        <v>0</v>
      </c>
      <c r="T456" s="7" t="s">
        <v>748</v>
      </c>
      <c r="U456" s="66">
        <f>0.39*AF$398</f>
        <v>0.39</v>
      </c>
      <c r="V456" s="31">
        <f t="shared" si="104"/>
        <v>0</v>
      </c>
      <c r="W456" s="35">
        <f>Rate!D$3</f>
        <v>34.5</v>
      </c>
      <c r="X456" s="110">
        <f t="shared" si="108"/>
        <v>0</v>
      </c>
      <c r="Y456" s="110">
        <f t="shared" si="109"/>
        <v>0</v>
      </c>
      <c r="Z456" s="110">
        <f t="shared" si="110"/>
        <v>0</v>
      </c>
      <c r="AA456" s="110">
        <f t="shared" si="101"/>
        <v>0</v>
      </c>
      <c r="AB456" s="110">
        <f t="shared" si="105"/>
        <v>0</v>
      </c>
      <c r="AC456" s="371" t="s">
        <v>163</v>
      </c>
      <c r="AD456" s="371" t="s">
        <v>148</v>
      </c>
      <c r="AE456" s="371" t="s">
        <v>149</v>
      </c>
      <c r="AF456" s="371"/>
    </row>
    <row r="457" spans="1:32" ht="13.5" hidden="1" thickBot="1" x14ac:dyDescent="0.25">
      <c r="A457" s="14" t="str">
        <f t="shared" si="102"/>
        <v/>
      </c>
      <c r="B457" s="21" t="s">
        <v>465</v>
      </c>
      <c r="C457" s="321"/>
      <c r="D457" s="242"/>
      <c r="E457" s="280">
        <v>6</v>
      </c>
      <c r="F457" s="85">
        <v>160</v>
      </c>
      <c r="G457" s="298">
        <v>0.71799999999999997</v>
      </c>
      <c r="H457" s="15" t="s">
        <v>66</v>
      </c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7">
        <f t="shared" si="103"/>
        <v>0</v>
      </c>
      <c r="T457" s="7" t="s">
        <v>748</v>
      </c>
      <c r="U457" s="66">
        <f>0.5*AF$398</f>
        <v>0.5</v>
      </c>
      <c r="V457" s="31">
        <f t="shared" si="104"/>
        <v>0</v>
      </c>
      <c r="W457" s="35">
        <f>Rate!D$3</f>
        <v>34.5</v>
      </c>
      <c r="X457" s="110">
        <f t="shared" si="108"/>
        <v>0</v>
      </c>
      <c r="Y457" s="110">
        <f t="shared" si="109"/>
        <v>0</v>
      </c>
      <c r="Z457" s="110">
        <f t="shared" si="110"/>
        <v>0</v>
      </c>
      <c r="AA457" s="110">
        <f t="shared" si="101"/>
        <v>0</v>
      </c>
      <c r="AB457" s="110">
        <f t="shared" si="105"/>
        <v>0</v>
      </c>
      <c r="AC457" s="371" t="s">
        <v>163</v>
      </c>
      <c r="AD457" s="371" t="s">
        <v>148</v>
      </c>
      <c r="AE457" s="371" t="s">
        <v>149</v>
      </c>
      <c r="AF457" s="371"/>
    </row>
    <row r="458" spans="1:32" ht="13.5" hidden="1" thickBot="1" x14ac:dyDescent="0.25">
      <c r="A458" s="14" t="str">
        <f t="shared" si="102"/>
        <v/>
      </c>
      <c r="B458" s="21" t="s">
        <v>465</v>
      </c>
      <c r="C458" s="321"/>
      <c r="D458" s="242"/>
      <c r="E458" s="280">
        <v>8</v>
      </c>
      <c r="F458" s="85">
        <v>160</v>
      </c>
      <c r="G458" s="298">
        <v>0.90600000000000003</v>
      </c>
      <c r="H458" s="15" t="s">
        <v>66</v>
      </c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7">
        <f t="shared" si="103"/>
        <v>0</v>
      </c>
      <c r="T458" s="7" t="s">
        <v>748</v>
      </c>
      <c r="U458" s="66">
        <f>0.65*AF$398</f>
        <v>0.65</v>
      </c>
      <c r="V458" s="31">
        <f t="shared" si="104"/>
        <v>0</v>
      </c>
      <c r="W458" s="35">
        <f>Rate!D$3</f>
        <v>34.5</v>
      </c>
      <c r="X458" s="110">
        <f t="shared" si="108"/>
        <v>0</v>
      </c>
      <c r="Y458" s="110">
        <f t="shared" si="109"/>
        <v>0</v>
      </c>
      <c r="Z458" s="110">
        <f t="shared" si="110"/>
        <v>0</v>
      </c>
      <c r="AA458" s="110">
        <f t="shared" si="101"/>
        <v>0</v>
      </c>
      <c r="AB458" s="110">
        <f t="shared" si="105"/>
        <v>0</v>
      </c>
      <c r="AC458" s="371" t="s">
        <v>163</v>
      </c>
      <c r="AD458" s="371" t="s">
        <v>148</v>
      </c>
      <c r="AE458" s="371" t="s">
        <v>149</v>
      </c>
      <c r="AF458" s="371"/>
    </row>
    <row r="459" spans="1:32" ht="13.5" hidden="1" thickBot="1" x14ac:dyDescent="0.25">
      <c r="A459" s="14" t="str">
        <f t="shared" si="102"/>
        <v/>
      </c>
      <c r="B459" s="21" t="s">
        <v>465</v>
      </c>
      <c r="C459" s="321"/>
      <c r="D459" s="242"/>
      <c r="E459" s="280">
        <v>10</v>
      </c>
      <c r="F459" s="85">
        <v>160</v>
      </c>
      <c r="G459" s="298">
        <v>1.125</v>
      </c>
      <c r="H459" s="15" t="s">
        <v>66</v>
      </c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7">
        <f t="shared" si="103"/>
        <v>0</v>
      </c>
      <c r="T459" s="7" t="s">
        <v>748</v>
      </c>
      <c r="U459" s="66">
        <f>0.82*AF$398</f>
        <v>0.82</v>
      </c>
      <c r="V459" s="31">
        <f t="shared" si="104"/>
        <v>0</v>
      </c>
      <c r="W459" s="35">
        <f>Rate!D$3</f>
        <v>34.5</v>
      </c>
      <c r="X459" s="110">
        <f t="shared" si="108"/>
        <v>0</v>
      </c>
      <c r="Y459" s="110">
        <f t="shared" si="109"/>
        <v>0</v>
      </c>
      <c r="Z459" s="110">
        <f t="shared" si="110"/>
        <v>0</v>
      </c>
      <c r="AA459" s="110">
        <f t="shared" si="101"/>
        <v>0</v>
      </c>
      <c r="AB459" s="110">
        <f t="shared" si="105"/>
        <v>0</v>
      </c>
      <c r="AC459" s="371" t="s">
        <v>163</v>
      </c>
      <c r="AD459" s="371" t="s">
        <v>148</v>
      </c>
      <c r="AE459" s="371" t="s">
        <v>149</v>
      </c>
      <c r="AF459" s="371"/>
    </row>
    <row r="460" spans="1:32" ht="13.5" hidden="1" thickBot="1" x14ac:dyDescent="0.25">
      <c r="A460" s="14" t="str">
        <f t="shared" si="102"/>
        <v/>
      </c>
      <c r="B460" s="21" t="s">
        <v>465</v>
      </c>
      <c r="C460" s="321"/>
      <c r="D460" s="242"/>
      <c r="E460" s="280">
        <v>12</v>
      </c>
      <c r="F460" s="85">
        <v>160</v>
      </c>
      <c r="G460" s="298">
        <v>1.3120000000000001</v>
      </c>
      <c r="H460" s="15" t="s">
        <v>66</v>
      </c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7">
        <f t="shared" si="103"/>
        <v>0</v>
      </c>
      <c r="T460" s="7" t="s">
        <v>748</v>
      </c>
      <c r="U460" s="66">
        <f>1*AF$398</f>
        <v>1</v>
      </c>
      <c r="V460" s="31">
        <f t="shared" si="104"/>
        <v>0</v>
      </c>
      <c r="W460" s="35">
        <f>Rate!D$3</f>
        <v>34.5</v>
      </c>
      <c r="X460" s="110">
        <f t="shared" si="108"/>
        <v>0</v>
      </c>
      <c r="Y460" s="110">
        <f t="shared" si="109"/>
        <v>0</v>
      </c>
      <c r="Z460" s="110">
        <f t="shared" si="110"/>
        <v>0</v>
      </c>
      <c r="AA460" s="110">
        <f t="shared" si="101"/>
        <v>0</v>
      </c>
      <c r="AB460" s="110">
        <f t="shared" si="105"/>
        <v>0</v>
      </c>
      <c r="AC460" s="371" t="s">
        <v>163</v>
      </c>
      <c r="AD460" s="371" t="s">
        <v>148</v>
      </c>
      <c r="AE460" s="371" t="s">
        <v>149</v>
      </c>
      <c r="AF460" s="371"/>
    </row>
    <row r="461" spans="1:32" ht="13.5" hidden="1" thickBot="1" x14ac:dyDescent="0.25">
      <c r="A461" s="14" t="str">
        <f t="shared" si="102"/>
        <v/>
      </c>
      <c r="B461" s="21" t="s">
        <v>465</v>
      </c>
      <c r="C461" s="321"/>
      <c r="D461" s="242"/>
      <c r="E461" s="280">
        <v>14</v>
      </c>
      <c r="F461" s="85">
        <v>160</v>
      </c>
      <c r="G461" s="298">
        <v>1.4059999999999999</v>
      </c>
      <c r="H461" s="15" t="s">
        <v>66</v>
      </c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7">
        <f t="shared" si="103"/>
        <v>0</v>
      </c>
      <c r="T461" s="7" t="s">
        <v>748</v>
      </c>
      <c r="U461" s="66">
        <f>1.19*AF$398</f>
        <v>1.19</v>
      </c>
      <c r="V461" s="31">
        <f t="shared" si="104"/>
        <v>0</v>
      </c>
      <c r="W461" s="35">
        <f>Rate!D$3</f>
        <v>34.5</v>
      </c>
      <c r="X461" s="110">
        <f t="shared" si="108"/>
        <v>0</v>
      </c>
      <c r="Y461" s="110">
        <f t="shared" si="109"/>
        <v>0</v>
      </c>
      <c r="Z461" s="110">
        <f t="shared" si="110"/>
        <v>0</v>
      </c>
      <c r="AA461" s="110">
        <f t="shared" si="101"/>
        <v>0</v>
      </c>
      <c r="AB461" s="110">
        <f t="shared" si="105"/>
        <v>0</v>
      </c>
      <c r="AC461" s="371" t="s">
        <v>163</v>
      </c>
      <c r="AD461" s="371" t="s">
        <v>148</v>
      </c>
      <c r="AE461" s="371" t="s">
        <v>149</v>
      </c>
      <c r="AF461" s="371"/>
    </row>
    <row r="462" spans="1:32" ht="13.5" hidden="1" thickBot="1" x14ac:dyDescent="0.25">
      <c r="A462" s="14" t="str">
        <f>IF(SUM(S$399:S$461)&lt;&gt;0,"X","")</f>
        <v/>
      </c>
      <c r="B462" s="74" t="s">
        <v>675</v>
      </c>
      <c r="C462" s="181" t="s">
        <v>13</v>
      </c>
      <c r="D462" s="242"/>
      <c r="E462" s="300">
        <f>IFERROR(SUMPRODUCT(E399:E461,S399:S461)/F462,0)</f>
        <v>0</v>
      </c>
      <c r="F462" s="305">
        <f>SUM(S399:S461)</f>
        <v>0</v>
      </c>
      <c r="G462" s="297">
        <f>SUM(V399:V461)</f>
        <v>0</v>
      </c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T462" s="29"/>
      <c r="V462" s="94"/>
      <c r="W462" s="17"/>
      <c r="X462" s="111">
        <f t="shared" si="108"/>
        <v>0</v>
      </c>
      <c r="Y462" s="111">
        <f t="shared" si="109"/>
        <v>0</v>
      </c>
      <c r="Z462" s="111">
        <f t="shared" si="110"/>
        <v>0</v>
      </c>
      <c r="AA462" s="111">
        <f>IF(H462="E",F462*S462*W462,0)</f>
        <v>0</v>
      </c>
      <c r="AB462" s="112"/>
    </row>
    <row r="463" spans="1:32" ht="13.5" hidden="1" thickBot="1" x14ac:dyDescent="0.25">
      <c r="A463" s="14" t="str">
        <f>IF(SUM(S$464:S$478)&lt;&gt;0,"X","")</f>
        <v/>
      </c>
      <c r="B463" s="198" t="s">
        <v>627</v>
      </c>
      <c r="C463" s="200" t="s">
        <v>13</v>
      </c>
      <c r="D463" s="239"/>
      <c r="E463" s="199" t="s">
        <v>7</v>
      </c>
      <c r="F463" s="199" t="s">
        <v>60</v>
      </c>
      <c r="G463" s="199" t="s">
        <v>578</v>
      </c>
      <c r="H463" s="200"/>
      <c r="I463" s="200"/>
      <c r="J463" s="200"/>
      <c r="K463" s="200"/>
      <c r="L463" s="200"/>
      <c r="M463" s="200"/>
      <c r="N463" s="200"/>
      <c r="O463" s="200"/>
      <c r="P463" s="200"/>
      <c r="Q463" s="200"/>
      <c r="R463" s="200"/>
      <c r="S463" s="200"/>
      <c r="T463" s="200"/>
      <c r="U463" s="201"/>
      <c r="V463" s="202"/>
      <c r="W463" s="203"/>
      <c r="X463" s="204">
        <f t="shared" si="108"/>
        <v>0</v>
      </c>
      <c r="Y463" s="204">
        <f t="shared" si="109"/>
        <v>0</v>
      </c>
      <c r="Z463" s="204">
        <f t="shared" si="110"/>
        <v>0</v>
      </c>
      <c r="AA463" s="204">
        <f t="shared" si="101"/>
        <v>0</v>
      </c>
      <c r="AB463" s="205"/>
      <c r="AC463" s="369"/>
      <c r="AD463" s="369"/>
      <c r="AE463" s="369" t="s">
        <v>13</v>
      </c>
      <c r="AF463" s="370">
        <v>1</v>
      </c>
    </row>
    <row r="464" spans="1:32" ht="13.5" hidden="1" thickBot="1" x14ac:dyDescent="0.25">
      <c r="A464" s="14" t="str">
        <f>+IF(AB464&lt;&gt;0,"X","")</f>
        <v/>
      </c>
      <c r="B464" s="21" t="s">
        <v>628</v>
      </c>
      <c r="C464" s="315"/>
      <c r="D464" s="244"/>
      <c r="E464" s="280">
        <v>4</v>
      </c>
      <c r="F464" s="85" t="s">
        <v>85</v>
      </c>
      <c r="G464" s="298" t="s">
        <v>579</v>
      </c>
      <c r="H464" s="347" t="s">
        <v>66</v>
      </c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7">
        <f t="shared" ref="S464:S478" si="111">SUM(I464:R464)</f>
        <v>0</v>
      </c>
      <c r="T464" s="7" t="s">
        <v>748</v>
      </c>
      <c r="U464" s="66">
        <f>0.22*AF$463</f>
        <v>0.22</v>
      </c>
      <c r="V464" s="31">
        <f t="shared" ref="V464:V478" si="112">+S464*U464</f>
        <v>0</v>
      </c>
      <c r="W464" s="35">
        <f>Rate!D$3</f>
        <v>34.5</v>
      </c>
      <c r="X464" s="110">
        <f t="shared" si="108"/>
        <v>0</v>
      </c>
      <c r="Y464" s="110">
        <f t="shared" si="109"/>
        <v>0</v>
      </c>
      <c r="Z464" s="110">
        <f t="shared" si="110"/>
        <v>0</v>
      </c>
      <c r="AA464" s="110">
        <f t="shared" si="101"/>
        <v>0</v>
      </c>
      <c r="AB464" s="110">
        <f t="shared" ref="AB464:AB478" si="113">SUM(X464:AA464)</f>
        <v>0</v>
      </c>
      <c r="AC464" s="376" t="s">
        <v>163</v>
      </c>
      <c r="AD464" s="376" t="s">
        <v>148</v>
      </c>
      <c r="AE464" s="376" t="s">
        <v>149</v>
      </c>
      <c r="AF464" s="377"/>
    </row>
    <row r="465" spans="1:32" ht="13.5" hidden="1" thickBot="1" x14ac:dyDescent="0.25">
      <c r="A465" s="14" t="str">
        <f t="shared" ref="A465:A478" si="114">+IF(AB465&lt;&gt;0,"X","")</f>
        <v/>
      </c>
      <c r="B465" s="21" t="s">
        <v>628</v>
      </c>
      <c r="C465" s="321"/>
      <c r="D465" s="242"/>
      <c r="E465" s="280">
        <v>6</v>
      </c>
      <c r="F465" s="85" t="s">
        <v>85</v>
      </c>
      <c r="G465" s="298" t="s">
        <v>706</v>
      </c>
      <c r="H465" s="15" t="s">
        <v>66</v>
      </c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7">
        <f t="shared" si="111"/>
        <v>0</v>
      </c>
      <c r="T465" s="7" t="s">
        <v>748</v>
      </c>
      <c r="U465" s="66">
        <f>0.24*AF$463</f>
        <v>0.24</v>
      </c>
      <c r="V465" s="31">
        <f t="shared" si="112"/>
        <v>0</v>
      </c>
      <c r="W465" s="35">
        <f>Rate!D$3</f>
        <v>34.5</v>
      </c>
      <c r="X465" s="110">
        <f t="shared" si="108"/>
        <v>0</v>
      </c>
      <c r="Y465" s="110">
        <f t="shared" si="109"/>
        <v>0</v>
      </c>
      <c r="Z465" s="110">
        <f t="shared" si="110"/>
        <v>0</v>
      </c>
      <c r="AA465" s="110">
        <f t="shared" si="101"/>
        <v>0</v>
      </c>
      <c r="AB465" s="110">
        <f t="shared" si="113"/>
        <v>0</v>
      </c>
      <c r="AC465" s="371" t="s">
        <v>163</v>
      </c>
      <c r="AD465" s="371" t="s">
        <v>148</v>
      </c>
      <c r="AE465" s="371" t="s">
        <v>149</v>
      </c>
      <c r="AF465" s="371"/>
    </row>
    <row r="466" spans="1:32" ht="13.5" hidden="1" thickBot="1" x14ac:dyDescent="0.25">
      <c r="A466" s="14" t="str">
        <f t="shared" si="114"/>
        <v/>
      </c>
      <c r="B466" s="21" t="s">
        <v>628</v>
      </c>
      <c r="C466" s="321"/>
      <c r="D466" s="242"/>
      <c r="E466" s="280">
        <v>8</v>
      </c>
      <c r="F466" s="85" t="s">
        <v>85</v>
      </c>
      <c r="G466" s="298" t="s">
        <v>707</v>
      </c>
      <c r="H466" s="15" t="s">
        <v>66</v>
      </c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7">
        <f t="shared" si="111"/>
        <v>0</v>
      </c>
      <c r="T466" s="7" t="s">
        <v>748</v>
      </c>
      <c r="U466" s="66">
        <f>0.29*AF$463</f>
        <v>0.28999999999999998</v>
      </c>
      <c r="V466" s="31">
        <f t="shared" si="112"/>
        <v>0</v>
      </c>
      <c r="W466" s="35">
        <f>Rate!D$3</f>
        <v>34.5</v>
      </c>
      <c r="X466" s="110">
        <f t="shared" si="108"/>
        <v>0</v>
      </c>
      <c r="Y466" s="110">
        <f t="shared" si="109"/>
        <v>0</v>
      </c>
      <c r="Z466" s="110">
        <f t="shared" si="110"/>
        <v>0</v>
      </c>
      <c r="AA466" s="110">
        <f t="shared" si="101"/>
        <v>0</v>
      </c>
      <c r="AB466" s="110">
        <f t="shared" si="113"/>
        <v>0</v>
      </c>
      <c r="AC466" s="371" t="s">
        <v>163</v>
      </c>
      <c r="AD466" s="371" t="s">
        <v>148</v>
      </c>
      <c r="AE466" s="371" t="s">
        <v>149</v>
      </c>
      <c r="AF466" s="371"/>
    </row>
    <row r="467" spans="1:32" ht="13.5" hidden="1" thickBot="1" x14ac:dyDescent="0.25">
      <c r="A467" s="14" t="str">
        <f t="shared" si="114"/>
        <v/>
      </c>
      <c r="B467" s="21" t="s">
        <v>628</v>
      </c>
      <c r="C467" s="321"/>
      <c r="D467" s="242"/>
      <c r="E467" s="280">
        <v>10</v>
      </c>
      <c r="F467" s="85" t="s">
        <v>86</v>
      </c>
      <c r="G467" s="298" t="s">
        <v>708</v>
      </c>
      <c r="H467" s="15" t="s">
        <v>66</v>
      </c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7">
        <f t="shared" si="111"/>
        <v>0</v>
      </c>
      <c r="T467" s="7" t="s">
        <v>748</v>
      </c>
      <c r="U467" s="66">
        <f>0.37*AF$463</f>
        <v>0.37</v>
      </c>
      <c r="V467" s="31">
        <f t="shared" si="112"/>
        <v>0</v>
      </c>
      <c r="W467" s="35">
        <f>Rate!D$3</f>
        <v>34.5</v>
      </c>
      <c r="X467" s="110">
        <f t="shared" si="108"/>
        <v>0</v>
      </c>
      <c r="Y467" s="110">
        <f t="shared" si="109"/>
        <v>0</v>
      </c>
      <c r="Z467" s="110">
        <f t="shared" si="110"/>
        <v>0</v>
      </c>
      <c r="AA467" s="110">
        <f t="shared" si="101"/>
        <v>0</v>
      </c>
      <c r="AB467" s="110">
        <f t="shared" si="113"/>
        <v>0</v>
      </c>
      <c r="AC467" s="371" t="s">
        <v>163</v>
      </c>
      <c r="AD467" s="371" t="s">
        <v>148</v>
      </c>
      <c r="AE467" s="371" t="s">
        <v>149</v>
      </c>
      <c r="AF467" s="371"/>
    </row>
    <row r="468" spans="1:32" ht="13.5" hidden="1" thickBot="1" x14ac:dyDescent="0.25">
      <c r="A468" s="14" t="str">
        <f t="shared" si="114"/>
        <v/>
      </c>
      <c r="B468" s="21" t="s">
        <v>628</v>
      </c>
      <c r="C468" s="321"/>
      <c r="D468" s="242"/>
      <c r="E468" s="280">
        <v>12</v>
      </c>
      <c r="F468" s="85" t="s">
        <v>87</v>
      </c>
      <c r="G468" s="298" t="s">
        <v>709</v>
      </c>
      <c r="H468" s="15" t="s">
        <v>66</v>
      </c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7">
        <f t="shared" si="111"/>
        <v>0</v>
      </c>
      <c r="T468" s="7" t="s">
        <v>748</v>
      </c>
      <c r="U468" s="66">
        <f>0.45*AF$463</f>
        <v>0.45</v>
      </c>
      <c r="V468" s="31">
        <f t="shared" si="112"/>
        <v>0</v>
      </c>
      <c r="W468" s="35">
        <f>Rate!D$3</f>
        <v>34.5</v>
      </c>
      <c r="X468" s="110">
        <f t="shared" si="108"/>
        <v>0</v>
      </c>
      <c r="Y468" s="110">
        <f t="shared" si="109"/>
        <v>0</v>
      </c>
      <c r="Z468" s="110">
        <f t="shared" si="110"/>
        <v>0</v>
      </c>
      <c r="AA468" s="110">
        <f t="shared" si="101"/>
        <v>0</v>
      </c>
      <c r="AB468" s="110">
        <f t="shared" si="113"/>
        <v>0</v>
      </c>
      <c r="AC468" s="371" t="s">
        <v>163</v>
      </c>
      <c r="AD468" s="371" t="s">
        <v>148</v>
      </c>
      <c r="AE468" s="371" t="s">
        <v>149</v>
      </c>
      <c r="AF468" s="371"/>
    </row>
    <row r="469" spans="1:32" ht="13.5" hidden="1" thickBot="1" x14ac:dyDescent="0.25">
      <c r="A469" s="14" t="str">
        <f t="shared" si="114"/>
        <v/>
      </c>
      <c r="B469" s="21" t="s">
        <v>628</v>
      </c>
      <c r="C469" s="321"/>
      <c r="D469" s="242"/>
      <c r="E469" s="280">
        <v>14</v>
      </c>
      <c r="F469" s="85" t="s">
        <v>87</v>
      </c>
      <c r="G469" s="298" t="s">
        <v>710</v>
      </c>
      <c r="H469" s="15" t="s">
        <v>66</v>
      </c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7">
        <f t="shared" si="111"/>
        <v>0</v>
      </c>
      <c r="T469" s="7" t="s">
        <v>748</v>
      </c>
      <c r="U469" s="66">
        <f>0.55*AF$463</f>
        <v>0.55000000000000004</v>
      </c>
      <c r="V469" s="31">
        <f t="shared" si="112"/>
        <v>0</v>
      </c>
      <c r="W469" s="35">
        <f>Rate!D$3</f>
        <v>34.5</v>
      </c>
      <c r="X469" s="110">
        <f t="shared" si="108"/>
        <v>0</v>
      </c>
      <c r="Y469" s="110">
        <f t="shared" si="109"/>
        <v>0</v>
      </c>
      <c r="Z469" s="110">
        <f t="shared" si="110"/>
        <v>0</v>
      </c>
      <c r="AA469" s="110">
        <f t="shared" si="101"/>
        <v>0</v>
      </c>
      <c r="AB469" s="110">
        <f t="shared" si="113"/>
        <v>0</v>
      </c>
      <c r="AC469" s="371" t="s">
        <v>163</v>
      </c>
      <c r="AD469" s="371" t="s">
        <v>148</v>
      </c>
      <c r="AE469" s="371" t="s">
        <v>149</v>
      </c>
      <c r="AF469" s="371"/>
    </row>
    <row r="470" spans="1:32" ht="13.5" hidden="1" thickBot="1" x14ac:dyDescent="0.25">
      <c r="A470" s="14" t="str">
        <f t="shared" si="114"/>
        <v/>
      </c>
      <c r="B470" s="21" t="s">
        <v>628</v>
      </c>
      <c r="C470" s="321"/>
      <c r="D470" s="242"/>
      <c r="E470" s="280">
        <v>16</v>
      </c>
      <c r="F470" s="85" t="s">
        <v>87</v>
      </c>
      <c r="G470" s="298" t="s">
        <v>711</v>
      </c>
      <c r="H470" s="15" t="s">
        <v>66</v>
      </c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7">
        <f t="shared" si="111"/>
        <v>0</v>
      </c>
      <c r="T470" s="7" t="s">
        <v>748</v>
      </c>
      <c r="U470" s="66">
        <f>0.64*AF$463</f>
        <v>0.64</v>
      </c>
      <c r="V470" s="31">
        <f t="shared" si="112"/>
        <v>0</v>
      </c>
      <c r="W470" s="35">
        <f>Rate!D$3</f>
        <v>34.5</v>
      </c>
      <c r="X470" s="110">
        <f t="shared" si="108"/>
        <v>0</v>
      </c>
      <c r="Y470" s="110">
        <f t="shared" si="109"/>
        <v>0</v>
      </c>
      <c r="Z470" s="110">
        <f t="shared" si="110"/>
        <v>0</v>
      </c>
      <c r="AA470" s="110">
        <f t="shared" si="101"/>
        <v>0</v>
      </c>
      <c r="AB470" s="110">
        <f t="shared" si="113"/>
        <v>0</v>
      </c>
      <c r="AC470" s="371" t="s">
        <v>163</v>
      </c>
      <c r="AD470" s="371" t="s">
        <v>148</v>
      </c>
      <c r="AE470" s="371" t="s">
        <v>149</v>
      </c>
      <c r="AF470" s="371"/>
    </row>
    <row r="471" spans="1:32" ht="13.5" hidden="1" thickBot="1" x14ac:dyDescent="0.25">
      <c r="A471" s="14" t="str">
        <f t="shared" si="114"/>
        <v/>
      </c>
      <c r="B471" s="21" t="s">
        <v>628</v>
      </c>
      <c r="C471" s="321"/>
      <c r="D471" s="242"/>
      <c r="E471" s="280">
        <v>18</v>
      </c>
      <c r="F471" s="85" t="s">
        <v>88</v>
      </c>
      <c r="G471" s="298" t="s">
        <v>712</v>
      </c>
      <c r="H471" s="15" t="s">
        <v>66</v>
      </c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7">
        <f t="shared" si="111"/>
        <v>0</v>
      </c>
      <c r="T471" s="7" t="s">
        <v>748</v>
      </c>
      <c r="U471" s="66">
        <f>0.75*AF$463</f>
        <v>0.75</v>
      </c>
      <c r="V471" s="31">
        <f t="shared" si="112"/>
        <v>0</v>
      </c>
      <c r="W471" s="35">
        <f>Rate!D$3</f>
        <v>34.5</v>
      </c>
      <c r="X471" s="110">
        <f t="shared" si="108"/>
        <v>0</v>
      </c>
      <c r="Y471" s="110">
        <f t="shared" si="109"/>
        <v>0</v>
      </c>
      <c r="Z471" s="110">
        <f t="shared" si="110"/>
        <v>0</v>
      </c>
      <c r="AA471" s="110">
        <f t="shared" si="101"/>
        <v>0</v>
      </c>
      <c r="AB471" s="110">
        <f t="shared" si="113"/>
        <v>0</v>
      </c>
      <c r="AC471" s="371" t="s">
        <v>163</v>
      </c>
      <c r="AD471" s="371" t="s">
        <v>148</v>
      </c>
      <c r="AE471" s="371" t="s">
        <v>149</v>
      </c>
      <c r="AF471" s="371"/>
    </row>
    <row r="472" spans="1:32" ht="13.5" hidden="1" thickBot="1" x14ac:dyDescent="0.25">
      <c r="A472" s="14" t="str">
        <f t="shared" si="114"/>
        <v/>
      </c>
      <c r="B472" s="21" t="s">
        <v>628</v>
      </c>
      <c r="C472" s="321"/>
      <c r="D472" s="242"/>
      <c r="E472" s="280">
        <v>20</v>
      </c>
      <c r="F472" s="85" t="s">
        <v>88</v>
      </c>
      <c r="G472" s="298" t="s">
        <v>713</v>
      </c>
      <c r="H472" s="15" t="s">
        <v>66</v>
      </c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7">
        <f t="shared" si="111"/>
        <v>0</v>
      </c>
      <c r="T472" s="7" t="s">
        <v>748</v>
      </c>
      <c r="U472" s="66">
        <f>0.88*AF$463</f>
        <v>0.88</v>
      </c>
      <c r="V472" s="31">
        <f t="shared" si="112"/>
        <v>0</v>
      </c>
      <c r="W472" s="35">
        <f>Rate!D$3</f>
        <v>34.5</v>
      </c>
      <c r="X472" s="110">
        <f t="shared" si="108"/>
        <v>0</v>
      </c>
      <c r="Y472" s="110">
        <f t="shared" si="109"/>
        <v>0</v>
      </c>
      <c r="Z472" s="110">
        <f t="shared" si="110"/>
        <v>0</v>
      </c>
      <c r="AA472" s="110">
        <f t="shared" si="101"/>
        <v>0</v>
      </c>
      <c r="AB472" s="110">
        <f t="shared" si="113"/>
        <v>0</v>
      </c>
      <c r="AC472" s="371" t="s">
        <v>163</v>
      </c>
      <c r="AD472" s="371" t="s">
        <v>148</v>
      </c>
      <c r="AE472" s="371" t="s">
        <v>149</v>
      </c>
      <c r="AF472" s="371"/>
    </row>
    <row r="473" spans="1:32" ht="13.5" hidden="1" thickBot="1" x14ac:dyDescent="0.25">
      <c r="A473" s="14" t="str">
        <f t="shared" si="114"/>
        <v/>
      </c>
      <c r="B473" s="21" t="s">
        <v>628</v>
      </c>
      <c r="C473" s="321"/>
      <c r="D473" s="242"/>
      <c r="E473" s="280">
        <v>24</v>
      </c>
      <c r="F473" s="85" t="s">
        <v>89</v>
      </c>
      <c r="G473" s="298" t="s">
        <v>714</v>
      </c>
      <c r="H473" s="15" t="s">
        <v>66</v>
      </c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7">
        <f t="shared" si="111"/>
        <v>0</v>
      </c>
      <c r="T473" s="7" t="s">
        <v>748</v>
      </c>
      <c r="U473" s="66">
        <f>0.98*AF$463</f>
        <v>0.98</v>
      </c>
      <c r="V473" s="31">
        <f t="shared" si="112"/>
        <v>0</v>
      </c>
      <c r="W473" s="35">
        <f>Rate!D$3</f>
        <v>34.5</v>
      </c>
      <c r="X473" s="110">
        <f t="shared" si="108"/>
        <v>0</v>
      </c>
      <c r="Y473" s="110">
        <f t="shared" si="109"/>
        <v>0</v>
      </c>
      <c r="Z473" s="110">
        <f t="shared" si="110"/>
        <v>0</v>
      </c>
      <c r="AA473" s="110">
        <f t="shared" si="101"/>
        <v>0</v>
      </c>
      <c r="AB473" s="110">
        <f t="shared" si="113"/>
        <v>0</v>
      </c>
      <c r="AC473" s="371" t="s">
        <v>163</v>
      </c>
      <c r="AD473" s="371" t="s">
        <v>148</v>
      </c>
      <c r="AE473" s="371" t="s">
        <v>149</v>
      </c>
      <c r="AF473" s="371"/>
    </row>
    <row r="474" spans="1:32" ht="13.5" hidden="1" thickBot="1" x14ac:dyDescent="0.25">
      <c r="A474" s="14" t="str">
        <f t="shared" si="114"/>
        <v/>
      </c>
      <c r="B474" s="21" t="s">
        <v>628</v>
      </c>
      <c r="C474" s="321"/>
      <c r="D474" s="242"/>
      <c r="E474" s="280">
        <v>28</v>
      </c>
      <c r="F474" s="85" t="s">
        <v>89</v>
      </c>
      <c r="G474" s="298" t="s">
        <v>715</v>
      </c>
      <c r="H474" s="15" t="s">
        <v>66</v>
      </c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7">
        <f t="shared" si="111"/>
        <v>0</v>
      </c>
      <c r="T474" s="7" t="s">
        <v>748</v>
      </c>
      <c r="U474" s="66">
        <f>1.14*AF$463</f>
        <v>1.1399999999999999</v>
      </c>
      <c r="V474" s="31">
        <f t="shared" si="112"/>
        <v>0</v>
      </c>
      <c r="W474" s="35">
        <f>Rate!D$3</f>
        <v>34.5</v>
      </c>
      <c r="X474" s="110">
        <f t="shared" si="108"/>
        <v>0</v>
      </c>
      <c r="Y474" s="110">
        <f t="shared" si="109"/>
        <v>0</v>
      </c>
      <c r="Z474" s="110">
        <f t="shared" si="110"/>
        <v>0</v>
      </c>
      <c r="AA474" s="110">
        <f t="shared" si="101"/>
        <v>0</v>
      </c>
      <c r="AB474" s="110">
        <f t="shared" ref="AB474" si="115">SUM(X474:AA474)</f>
        <v>0</v>
      </c>
      <c r="AC474" s="371" t="s">
        <v>163</v>
      </c>
      <c r="AD474" s="371" t="s">
        <v>148</v>
      </c>
      <c r="AE474" s="371" t="s">
        <v>149</v>
      </c>
      <c r="AF474" s="371"/>
    </row>
    <row r="475" spans="1:32" ht="13.5" hidden="1" thickBot="1" x14ac:dyDescent="0.25">
      <c r="A475" s="14" t="str">
        <f t="shared" si="114"/>
        <v/>
      </c>
      <c r="B475" s="21" t="s">
        <v>628</v>
      </c>
      <c r="C475" s="321"/>
      <c r="D475" s="242"/>
      <c r="E475" s="280">
        <v>30</v>
      </c>
      <c r="F475" s="85" t="s">
        <v>89</v>
      </c>
      <c r="G475" s="298" t="s">
        <v>716</v>
      </c>
      <c r="H475" s="15" t="s">
        <v>66</v>
      </c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7">
        <f t="shared" si="111"/>
        <v>0</v>
      </c>
      <c r="T475" s="7" t="s">
        <v>748</v>
      </c>
      <c r="U475" s="66">
        <f>1.21*AF$463</f>
        <v>1.21</v>
      </c>
      <c r="V475" s="31">
        <f t="shared" si="112"/>
        <v>0</v>
      </c>
      <c r="W475" s="35">
        <f>Rate!D$3</f>
        <v>34.5</v>
      </c>
      <c r="X475" s="110">
        <f t="shared" si="108"/>
        <v>0</v>
      </c>
      <c r="Y475" s="110">
        <f t="shared" si="109"/>
        <v>0</v>
      </c>
      <c r="Z475" s="110">
        <f t="shared" si="110"/>
        <v>0</v>
      </c>
      <c r="AA475" s="110">
        <f t="shared" si="101"/>
        <v>0</v>
      </c>
      <c r="AB475" s="110">
        <f t="shared" si="113"/>
        <v>0</v>
      </c>
      <c r="AC475" s="371" t="s">
        <v>163</v>
      </c>
      <c r="AD475" s="371" t="s">
        <v>148</v>
      </c>
      <c r="AE475" s="371" t="s">
        <v>149</v>
      </c>
      <c r="AF475" s="371"/>
    </row>
    <row r="476" spans="1:32" ht="13.5" hidden="1" thickBot="1" x14ac:dyDescent="0.25">
      <c r="A476" s="14" t="str">
        <f t="shared" si="114"/>
        <v/>
      </c>
      <c r="B476" s="21" t="s">
        <v>628</v>
      </c>
      <c r="C476" s="321"/>
      <c r="D476" s="242"/>
      <c r="E476" s="280">
        <v>36</v>
      </c>
      <c r="F476" s="85" t="s">
        <v>90</v>
      </c>
      <c r="G476" s="298" t="s">
        <v>717</v>
      </c>
      <c r="H476" s="15" t="s">
        <v>66</v>
      </c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7">
        <f t="shared" si="111"/>
        <v>0</v>
      </c>
      <c r="T476" s="7" t="s">
        <v>748</v>
      </c>
      <c r="U476" s="66">
        <f>1.52*AF$463</f>
        <v>1.52</v>
      </c>
      <c r="V476" s="31">
        <f t="shared" si="112"/>
        <v>0</v>
      </c>
      <c r="W476" s="35">
        <f>Rate!D$3</f>
        <v>34.5</v>
      </c>
      <c r="X476" s="110">
        <f t="shared" si="108"/>
        <v>0</v>
      </c>
      <c r="Y476" s="110">
        <f t="shared" si="109"/>
        <v>0</v>
      </c>
      <c r="Z476" s="110">
        <f t="shared" si="110"/>
        <v>0</v>
      </c>
      <c r="AA476" s="110">
        <f t="shared" si="101"/>
        <v>0</v>
      </c>
      <c r="AB476" s="110">
        <f t="shared" si="113"/>
        <v>0</v>
      </c>
      <c r="AC476" s="371" t="s">
        <v>163</v>
      </c>
      <c r="AD476" s="371" t="s">
        <v>148</v>
      </c>
      <c r="AE476" s="371" t="s">
        <v>149</v>
      </c>
      <c r="AF476" s="371"/>
    </row>
    <row r="477" spans="1:32" ht="13.5" hidden="1" thickBot="1" x14ac:dyDescent="0.25">
      <c r="A477" s="14" t="str">
        <f t="shared" si="114"/>
        <v/>
      </c>
      <c r="B477" s="21" t="s">
        <v>628</v>
      </c>
      <c r="C477" s="321"/>
      <c r="D477" s="242"/>
      <c r="E477" s="280">
        <v>42</v>
      </c>
      <c r="F477" s="85" t="s">
        <v>90</v>
      </c>
      <c r="G477" s="298" t="s">
        <v>718</v>
      </c>
      <c r="H477" s="15" t="s">
        <v>66</v>
      </c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7">
        <f t="shared" si="111"/>
        <v>0</v>
      </c>
      <c r="T477" s="7" t="s">
        <v>748</v>
      </c>
      <c r="U477" s="66">
        <f>1.83*AF$463</f>
        <v>1.83</v>
      </c>
      <c r="V477" s="31">
        <f t="shared" si="112"/>
        <v>0</v>
      </c>
      <c r="W477" s="35">
        <f>Rate!D$3</f>
        <v>34.5</v>
      </c>
      <c r="X477" s="110">
        <f t="shared" si="108"/>
        <v>0</v>
      </c>
      <c r="Y477" s="110">
        <f t="shared" si="109"/>
        <v>0</v>
      </c>
      <c r="Z477" s="110">
        <f t="shared" si="110"/>
        <v>0</v>
      </c>
      <c r="AA477" s="110">
        <f t="shared" si="101"/>
        <v>0</v>
      </c>
      <c r="AB477" s="110">
        <f t="shared" ref="AB477" si="116">SUM(X477:AA477)</f>
        <v>0</v>
      </c>
      <c r="AC477" s="371" t="s">
        <v>163</v>
      </c>
      <c r="AD477" s="371" t="s">
        <v>148</v>
      </c>
      <c r="AE477" s="371" t="s">
        <v>149</v>
      </c>
      <c r="AF477" s="371"/>
    </row>
    <row r="478" spans="1:32" ht="13.5" hidden="1" thickBot="1" x14ac:dyDescent="0.25">
      <c r="A478" s="14" t="str">
        <f t="shared" si="114"/>
        <v/>
      </c>
      <c r="B478" s="21" t="s">
        <v>628</v>
      </c>
      <c r="C478" s="321"/>
      <c r="D478" s="242"/>
      <c r="E478" s="280">
        <v>48</v>
      </c>
      <c r="F478" s="85" t="s">
        <v>90</v>
      </c>
      <c r="G478" s="298" t="s">
        <v>719</v>
      </c>
      <c r="H478" s="15" t="s">
        <v>66</v>
      </c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7">
        <f t="shared" si="111"/>
        <v>0</v>
      </c>
      <c r="T478" s="7" t="s">
        <v>748</v>
      </c>
      <c r="U478" s="66">
        <f>2.14*AF$463</f>
        <v>2.14</v>
      </c>
      <c r="V478" s="31">
        <f t="shared" si="112"/>
        <v>0</v>
      </c>
      <c r="W478" s="35">
        <f>Rate!D$3</f>
        <v>34.5</v>
      </c>
      <c r="X478" s="110">
        <f t="shared" si="108"/>
        <v>0</v>
      </c>
      <c r="Y478" s="110">
        <f t="shared" si="109"/>
        <v>0</v>
      </c>
      <c r="Z478" s="110">
        <f t="shared" si="110"/>
        <v>0</v>
      </c>
      <c r="AA478" s="110">
        <f t="shared" si="101"/>
        <v>0</v>
      </c>
      <c r="AB478" s="110">
        <f t="shared" si="113"/>
        <v>0</v>
      </c>
      <c r="AC478" s="371" t="s">
        <v>163</v>
      </c>
      <c r="AD478" s="371" t="s">
        <v>148</v>
      </c>
      <c r="AE478" s="371" t="s">
        <v>149</v>
      </c>
      <c r="AF478" s="371"/>
    </row>
    <row r="479" spans="1:32" ht="13.5" hidden="1" thickBot="1" x14ac:dyDescent="0.25">
      <c r="A479" s="14" t="str">
        <f>IF(SUM(S$464:S$478)&lt;&gt;0,"X","")</f>
        <v/>
      </c>
      <c r="B479" s="74" t="s">
        <v>676</v>
      </c>
      <c r="C479" s="181" t="s">
        <v>13</v>
      </c>
      <c r="D479" s="242"/>
      <c r="E479" s="306">
        <f>IFERROR(SUMPRODUCT(E464:E478,S464:S478)/F479,0)</f>
        <v>0</v>
      </c>
      <c r="F479" s="299">
        <f>SUM(S464:S478)</f>
        <v>0</v>
      </c>
      <c r="G479" s="301">
        <f>SUM(V464:V478)</f>
        <v>0</v>
      </c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T479" s="29"/>
      <c r="V479" s="94"/>
      <c r="W479" s="17"/>
      <c r="X479" s="111">
        <f t="shared" si="108"/>
        <v>0</v>
      </c>
      <c r="Y479" s="111">
        <f t="shared" si="109"/>
        <v>0</v>
      </c>
      <c r="Z479" s="111">
        <f t="shared" si="110"/>
        <v>0</v>
      </c>
      <c r="AA479" s="111">
        <f>IF(H479="E",F479*S479*W479,0)</f>
        <v>0</v>
      </c>
      <c r="AB479" s="112"/>
    </row>
    <row r="480" spans="1:32" ht="13.5" thickBot="1" x14ac:dyDescent="0.25">
      <c r="A480" s="14" t="str">
        <f>IF(SUM(S$481:S$544)&lt;&gt;0,"X","")</f>
        <v>X</v>
      </c>
      <c r="B480" s="198" t="s">
        <v>464</v>
      </c>
      <c r="C480" s="200" t="s">
        <v>13</v>
      </c>
      <c r="D480" s="239"/>
      <c r="E480" s="199" t="s">
        <v>7</v>
      </c>
      <c r="F480" s="199" t="s">
        <v>60</v>
      </c>
      <c r="G480" s="199"/>
      <c r="H480" s="200"/>
      <c r="I480" s="200"/>
      <c r="J480" s="200"/>
      <c r="K480" s="200"/>
      <c r="L480" s="200"/>
      <c r="M480" s="200"/>
      <c r="N480" s="200"/>
      <c r="O480" s="200"/>
      <c r="P480" s="200"/>
      <c r="Q480" s="200"/>
      <c r="R480" s="200"/>
      <c r="S480" s="200"/>
      <c r="T480" s="200"/>
      <c r="U480" s="201"/>
      <c r="V480" s="202"/>
      <c r="W480" s="203"/>
      <c r="X480" s="204">
        <f t="shared" si="108"/>
        <v>0</v>
      </c>
      <c r="Y480" s="204">
        <f t="shared" si="109"/>
        <v>0</v>
      </c>
      <c r="Z480" s="204">
        <f t="shared" si="110"/>
        <v>0</v>
      </c>
      <c r="AA480" s="204">
        <f t="shared" ref="AA480:AA538" si="117">IF(H480="E",G480*S480*W480,0)</f>
        <v>0</v>
      </c>
      <c r="AB480" s="205"/>
      <c r="AC480" s="369"/>
      <c r="AD480" s="369"/>
      <c r="AE480" s="369" t="s">
        <v>13</v>
      </c>
      <c r="AF480" s="370">
        <v>1</v>
      </c>
    </row>
    <row r="481" spans="1:32" hidden="1" x14ac:dyDescent="0.2">
      <c r="A481" s="14" t="str">
        <f t="shared" ref="A481:A512" si="118">+IF(AB481&lt;&gt;0,"X","")</f>
        <v/>
      </c>
      <c r="B481" s="21" t="s">
        <v>575</v>
      </c>
      <c r="C481" s="18"/>
      <c r="D481" s="244"/>
      <c r="E481" s="279">
        <v>0.5</v>
      </c>
      <c r="F481" s="252" t="s">
        <v>0</v>
      </c>
      <c r="G481" s="252">
        <v>0.109</v>
      </c>
      <c r="H481" s="15" t="s">
        <v>66</v>
      </c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9">
        <f t="shared" ref="S481:S512" si="119">SUM(I481:R481)</f>
        <v>0</v>
      </c>
      <c r="T481" s="19" t="s">
        <v>748</v>
      </c>
      <c r="U481" s="133">
        <f>0.27*AF$480</f>
        <v>0.27</v>
      </c>
      <c r="V481" s="93">
        <f t="shared" ref="V481:V512" si="120">+S481*U481</f>
        <v>0</v>
      </c>
      <c r="W481" s="123">
        <f>Rate!D$3</f>
        <v>34.5</v>
      </c>
      <c r="X481" s="109">
        <f t="shared" si="108"/>
        <v>0</v>
      </c>
      <c r="Y481" s="109">
        <f t="shared" si="109"/>
        <v>0</v>
      </c>
      <c r="Z481" s="109">
        <f t="shared" si="110"/>
        <v>0</v>
      </c>
      <c r="AA481" s="109">
        <f t="shared" si="117"/>
        <v>0</v>
      </c>
      <c r="AB481" s="109">
        <f t="shared" ref="AB481:AB512" si="121">SUM(X481:AA481)</f>
        <v>0</v>
      </c>
      <c r="AC481" s="378" t="s">
        <v>163</v>
      </c>
      <c r="AD481" s="378" t="s">
        <v>148</v>
      </c>
      <c r="AE481" s="378" t="s">
        <v>149</v>
      </c>
      <c r="AF481" s="378"/>
    </row>
    <row r="482" spans="1:32" hidden="1" x14ac:dyDescent="0.2">
      <c r="A482" s="14" t="str">
        <f t="shared" si="118"/>
        <v/>
      </c>
      <c r="B482" s="21" t="s">
        <v>575</v>
      </c>
      <c r="C482" s="15"/>
      <c r="D482" s="242"/>
      <c r="E482" s="280">
        <v>0.75</v>
      </c>
      <c r="F482" s="85" t="s">
        <v>0</v>
      </c>
      <c r="G482" s="85">
        <v>0.113</v>
      </c>
      <c r="H482" s="15" t="s">
        <v>66</v>
      </c>
      <c r="I482" s="18"/>
      <c r="J482" s="15"/>
      <c r="K482" s="15"/>
      <c r="L482" s="15"/>
      <c r="M482" s="15"/>
      <c r="N482" s="15"/>
      <c r="O482" s="15"/>
      <c r="P482" s="15"/>
      <c r="Q482" s="15"/>
      <c r="R482" s="15"/>
      <c r="S482" s="7">
        <f t="shared" si="119"/>
        <v>0</v>
      </c>
      <c r="T482" s="7" t="s">
        <v>748</v>
      </c>
      <c r="U482" s="66">
        <f>0.28*AF$480</f>
        <v>0.28000000000000003</v>
      </c>
      <c r="V482" s="31">
        <f t="shared" si="120"/>
        <v>0</v>
      </c>
      <c r="W482" s="35">
        <f>Rate!D$3</f>
        <v>34.5</v>
      </c>
      <c r="X482" s="110">
        <f t="shared" si="108"/>
        <v>0</v>
      </c>
      <c r="Y482" s="110">
        <f t="shared" si="109"/>
        <v>0</v>
      </c>
      <c r="Z482" s="110">
        <f t="shared" si="110"/>
        <v>0</v>
      </c>
      <c r="AA482" s="110">
        <f t="shared" si="117"/>
        <v>0</v>
      </c>
      <c r="AB482" s="110">
        <f t="shared" si="121"/>
        <v>0</v>
      </c>
      <c r="AC482" s="371" t="s">
        <v>163</v>
      </c>
      <c r="AD482" s="371" t="s">
        <v>148</v>
      </c>
      <c r="AE482" s="371" t="s">
        <v>149</v>
      </c>
      <c r="AF482" s="371"/>
    </row>
    <row r="483" spans="1:32" hidden="1" x14ac:dyDescent="0.2">
      <c r="A483" s="14" t="str">
        <f t="shared" si="118"/>
        <v/>
      </c>
      <c r="B483" s="21" t="s">
        <v>575</v>
      </c>
      <c r="C483" s="15"/>
      <c r="D483" s="242"/>
      <c r="E483" s="280">
        <v>1</v>
      </c>
      <c r="F483" s="85" t="s">
        <v>0</v>
      </c>
      <c r="G483" s="85">
        <v>0.13300000000000001</v>
      </c>
      <c r="H483" s="15" t="s">
        <v>66</v>
      </c>
      <c r="I483" s="18"/>
      <c r="J483" s="15"/>
      <c r="K483" s="15"/>
      <c r="L483" s="15"/>
      <c r="M483" s="15"/>
      <c r="N483" s="15"/>
      <c r="O483" s="15"/>
      <c r="P483" s="15"/>
      <c r="Q483" s="15"/>
      <c r="R483" s="15"/>
      <c r="S483" s="7">
        <f t="shared" si="119"/>
        <v>0</v>
      </c>
      <c r="T483" s="7" t="s">
        <v>748</v>
      </c>
      <c r="U483" s="66">
        <f>0.29*AF$480</f>
        <v>0.28999999999999998</v>
      </c>
      <c r="V483" s="31">
        <f t="shared" si="120"/>
        <v>0</v>
      </c>
      <c r="W483" s="35">
        <f>Rate!D$3</f>
        <v>34.5</v>
      </c>
      <c r="X483" s="110">
        <f t="shared" si="108"/>
        <v>0</v>
      </c>
      <c r="Y483" s="110">
        <f t="shared" si="109"/>
        <v>0</v>
      </c>
      <c r="Z483" s="110">
        <f t="shared" si="110"/>
        <v>0</v>
      </c>
      <c r="AA483" s="110">
        <f t="shared" si="117"/>
        <v>0</v>
      </c>
      <c r="AB483" s="110">
        <f t="shared" si="121"/>
        <v>0</v>
      </c>
      <c r="AC483" s="371" t="s">
        <v>163</v>
      </c>
      <c r="AD483" s="371" t="s">
        <v>148</v>
      </c>
      <c r="AE483" s="371" t="s">
        <v>149</v>
      </c>
      <c r="AF483" s="371"/>
    </row>
    <row r="484" spans="1:32" hidden="1" x14ac:dyDescent="0.2">
      <c r="A484" s="14" t="str">
        <f t="shared" si="118"/>
        <v/>
      </c>
      <c r="B484" s="21" t="s">
        <v>575</v>
      </c>
      <c r="C484" s="15"/>
      <c r="D484" s="242"/>
      <c r="E484" s="280">
        <v>1.5</v>
      </c>
      <c r="F484" s="85" t="s">
        <v>0</v>
      </c>
      <c r="G484" s="85">
        <v>0.14499999999999999</v>
      </c>
      <c r="H484" s="15" t="s">
        <v>66</v>
      </c>
      <c r="I484" s="18"/>
      <c r="J484" s="15"/>
      <c r="K484" s="15"/>
      <c r="L484" s="15"/>
      <c r="M484" s="15"/>
      <c r="N484" s="15"/>
      <c r="O484" s="15"/>
      <c r="P484" s="15"/>
      <c r="Q484" s="15"/>
      <c r="R484" s="15"/>
      <c r="S484" s="7">
        <f t="shared" si="119"/>
        <v>0</v>
      </c>
      <c r="T484" s="7" t="s">
        <v>748</v>
      </c>
      <c r="U484" s="66">
        <f>0.32*AF$480</f>
        <v>0.32</v>
      </c>
      <c r="V484" s="31">
        <f t="shared" si="120"/>
        <v>0</v>
      </c>
      <c r="W484" s="35">
        <f>Rate!D$3</f>
        <v>34.5</v>
      </c>
      <c r="X484" s="110">
        <f t="shared" si="108"/>
        <v>0</v>
      </c>
      <c r="Y484" s="110">
        <f t="shared" si="109"/>
        <v>0</v>
      </c>
      <c r="Z484" s="110">
        <f t="shared" si="110"/>
        <v>0</v>
      </c>
      <c r="AA484" s="110">
        <f t="shared" si="117"/>
        <v>0</v>
      </c>
      <c r="AB484" s="110">
        <f t="shared" si="121"/>
        <v>0</v>
      </c>
      <c r="AC484" s="371" t="s">
        <v>163</v>
      </c>
      <c r="AD484" s="371" t="s">
        <v>148</v>
      </c>
      <c r="AE484" s="371" t="s">
        <v>149</v>
      </c>
      <c r="AF484" s="371"/>
    </row>
    <row r="485" spans="1:32" hidden="1" x14ac:dyDescent="0.2">
      <c r="A485" s="14" t="str">
        <f t="shared" si="118"/>
        <v/>
      </c>
      <c r="B485" s="21" t="s">
        <v>575</v>
      </c>
      <c r="C485" s="15"/>
      <c r="D485" s="242"/>
      <c r="E485" s="280">
        <v>2</v>
      </c>
      <c r="F485" s="85" t="s">
        <v>0</v>
      </c>
      <c r="G485" s="85">
        <v>0.154</v>
      </c>
      <c r="H485" s="15" t="s">
        <v>66</v>
      </c>
      <c r="I485" s="18"/>
      <c r="J485" s="15"/>
      <c r="K485" s="15"/>
      <c r="L485" s="15"/>
      <c r="M485" s="15"/>
      <c r="N485" s="15"/>
      <c r="O485" s="15"/>
      <c r="P485" s="15"/>
      <c r="Q485" s="15"/>
      <c r="R485" s="15"/>
      <c r="S485" s="7">
        <f t="shared" si="119"/>
        <v>0</v>
      </c>
      <c r="T485" s="7" t="s">
        <v>748</v>
      </c>
      <c r="U485" s="66">
        <f>0.34*AF$480</f>
        <v>0.34</v>
      </c>
      <c r="V485" s="31">
        <f t="shared" si="120"/>
        <v>0</v>
      </c>
      <c r="W485" s="35">
        <f>Rate!D$3</f>
        <v>34.5</v>
      </c>
      <c r="X485" s="110">
        <f t="shared" si="108"/>
        <v>0</v>
      </c>
      <c r="Y485" s="110">
        <f t="shared" si="109"/>
        <v>0</v>
      </c>
      <c r="Z485" s="110">
        <f t="shared" si="110"/>
        <v>0</v>
      </c>
      <c r="AA485" s="110">
        <f t="shared" si="117"/>
        <v>0</v>
      </c>
      <c r="AB485" s="110">
        <f t="shared" si="121"/>
        <v>0</v>
      </c>
      <c r="AC485" s="371" t="s">
        <v>163</v>
      </c>
      <c r="AD485" s="371" t="s">
        <v>148</v>
      </c>
      <c r="AE485" s="371" t="s">
        <v>149</v>
      </c>
      <c r="AF485" s="371"/>
    </row>
    <row r="486" spans="1:32" hidden="1" x14ac:dyDescent="0.2">
      <c r="A486" s="14" t="str">
        <f t="shared" si="118"/>
        <v/>
      </c>
      <c r="B486" s="21" t="s">
        <v>575</v>
      </c>
      <c r="C486" s="15"/>
      <c r="D486" s="242"/>
      <c r="E486" s="280">
        <v>3</v>
      </c>
      <c r="F486" s="85" t="s">
        <v>0</v>
      </c>
      <c r="G486" s="85">
        <v>0.216</v>
      </c>
      <c r="H486" s="15" t="s">
        <v>66</v>
      </c>
      <c r="I486" s="18"/>
      <c r="J486" s="15"/>
      <c r="K486" s="15"/>
      <c r="L486" s="15"/>
      <c r="M486" s="15"/>
      <c r="N486" s="15"/>
      <c r="O486" s="15"/>
      <c r="P486" s="15"/>
      <c r="Q486" s="15"/>
      <c r="R486" s="15"/>
      <c r="S486" s="7">
        <f t="shared" si="119"/>
        <v>0</v>
      </c>
      <c r="T486" s="7" t="s">
        <v>748</v>
      </c>
      <c r="U486" s="66">
        <f>0.39*AF$480</f>
        <v>0.39</v>
      </c>
      <c r="V486" s="31">
        <f t="shared" si="120"/>
        <v>0</v>
      </c>
      <c r="W486" s="35">
        <f>Rate!D$3</f>
        <v>34.5</v>
      </c>
      <c r="X486" s="110">
        <f t="shared" si="108"/>
        <v>0</v>
      </c>
      <c r="Y486" s="110">
        <f t="shared" si="109"/>
        <v>0</v>
      </c>
      <c r="Z486" s="110">
        <f t="shared" si="110"/>
        <v>0</v>
      </c>
      <c r="AA486" s="110">
        <f t="shared" si="117"/>
        <v>0</v>
      </c>
      <c r="AB486" s="110">
        <f t="shared" si="121"/>
        <v>0</v>
      </c>
      <c r="AC486" s="371" t="s">
        <v>163</v>
      </c>
      <c r="AD486" s="371" t="s">
        <v>148</v>
      </c>
      <c r="AE486" s="371" t="s">
        <v>149</v>
      </c>
      <c r="AF486" s="371"/>
    </row>
    <row r="487" spans="1:32" x14ac:dyDescent="0.2">
      <c r="A487" s="14" t="str">
        <f t="shared" si="118"/>
        <v>X</v>
      </c>
      <c r="B487" s="21" t="s">
        <v>575</v>
      </c>
      <c r="C487" s="15" t="s">
        <v>795</v>
      </c>
      <c r="D487" s="242"/>
      <c r="E487" s="280">
        <v>4</v>
      </c>
      <c r="F487" s="85" t="s">
        <v>0</v>
      </c>
      <c r="G487" s="85">
        <v>0.23699999999999999</v>
      </c>
      <c r="H487" s="15" t="s">
        <v>66</v>
      </c>
      <c r="I487" s="18">
        <v>100</v>
      </c>
      <c r="J487" s="15">
        <v>200</v>
      </c>
      <c r="K487" s="15"/>
      <c r="L487" s="15"/>
      <c r="M487" s="15"/>
      <c r="N487" s="15"/>
      <c r="O487" s="15"/>
      <c r="P487" s="15"/>
      <c r="Q487" s="15"/>
      <c r="R487" s="15"/>
      <c r="S487" s="7">
        <f t="shared" si="119"/>
        <v>300</v>
      </c>
      <c r="T487" s="7" t="s">
        <v>748</v>
      </c>
      <c r="U487" s="66">
        <f>0.41*AF$480</f>
        <v>0.41</v>
      </c>
      <c r="V487" s="31">
        <f t="shared" si="120"/>
        <v>122.99999999999999</v>
      </c>
      <c r="W487" s="35">
        <f>Rate!D$3</f>
        <v>34.5</v>
      </c>
      <c r="X487" s="110">
        <f t="shared" si="108"/>
        <v>4243.4999999999991</v>
      </c>
      <c r="Y487" s="110">
        <f t="shared" si="109"/>
        <v>0</v>
      </c>
      <c r="Z487" s="110">
        <f t="shared" si="110"/>
        <v>0</v>
      </c>
      <c r="AA487" s="110">
        <f t="shared" si="117"/>
        <v>0</v>
      </c>
      <c r="AB487" s="110">
        <f t="shared" si="121"/>
        <v>4243.4999999999991</v>
      </c>
      <c r="AC487" s="371" t="s">
        <v>163</v>
      </c>
      <c r="AD487" s="371" t="s">
        <v>148</v>
      </c>
      <c r="AE487" s="371" t="s">
        <v>149</v>
      </c>
      <c r="AF487" s="371"/>
    </row>
    <row r="488" spans="1:32" x14ac:dyDescent="0.2">
      <c r="A488" s="14" t="str">
        <f t="shared" si="118"/>
        <v>X</v>
      </c>
      <c r="B488" s="21" t="s">
        <v>575</v>
      </c>
      <c r="C488" s="15" t="s">
        <v>795</v>
      </c>
      <c r="D488" s="242"/>
      <c r="E488" s="280">
        <v>6</v>
      </c>
      <c r="F488" s="85" t="s">
        <v>0</v>
      </c>
      <c r="G488" s="85">
        <v>0.28000000000000003</v>
      </c>
      <c r="H488" s="15" t="s">
        <v>66</v>
      </c>
      <c r="I488" s="18">
        <v>101</v>
      </c>
      <c r="J488" s="15">
        <v>201</v>
      </c>
      <c r="K488" s="15"/>
      <c r="L488" s="15"/>
      <c r="M488" s="15"/>
      <c r="N488" s="15"/>
      <c r="O488" s="15"/>
      <c r="P488" s="15"/>
      <c r="Q488" s="15"/>
      <c r="R488" s="15"/>
      <c r="S488" s="7">
        <f t="shared" si="119"/>
        <v>302</v>
      </c>
      <c r="T488" s="7" t="s">
        <v>748</v>
      </c>
      <c r="U488" s="66">
        <f>0.47*AF$480</f>
        <v>0.47</v>
      </c>
      <c r="V488" s="31">
        <f t="shared" si="120"/>
        <v>141.94</v>
      </c>
      <c r="W488" s="35">
        <f>Rate!D$3</f>
        <v>34.5</v>
      </c>
      <c r="X488" s="110">
        <f t="shared" si="108"/>
        <v>4896.93</v>
      </c>
      <c r="Y488" s="110">
        <f t="shared" si="109"/>
        <v>0</v>
      </c>
      <c r="Z488" s="110">
        <f t="shared" si="110"/>
        <v>0</v>
      </c>
      <c r="AA488" s="110">
        <f t="shared" si="117"/>
        <v>0</v>
      </c>
      <c r="AB488" s="110">
        <f t="shared" si="121"/>
        <v>4896.93</v>
      </c>
      <c r="AC488" s="371" t="s">
        <v>163</v>
      </c>
      <c r="AD488" s="371" t="s">
        <v>148</v>
      </c>
      <c r="AE488" s="371" t="s">
        <v>149</v>
      </c>
      <c r="AF488" s="371"/>
    </row>
    <row r="489" spans="1:32" x14ac:dyDescent="0.2">
      <c r="A489" s="14" t="str">
        <f t="shared" si="118"/>
        <v>X</v>
      </c>
      <c r="B489" s="21" t="s">
        <v>575</v>
      </c>
      <c r="C489" s="15" t="s">
        <v>795</v>
      </c>
      <c r="D489" s="242"/>
      <c r="E489" s="280">
        <v>8</v>
      </c>
      <c r="F489" s="85" t="s">
        <v>0</v>
      </c>
      <c r="G489" s="85">
        <v>0.32200000000000001</v>
      </c>
      <c r="H489" s="15" t="s">
        <v>66</v>
      </c>
      <c r="I489" s="18">
        <v>102</v>
      </c>
      <c r="J489" s="15">
        <v>202</v>
      </c>
      <c r="K489" s="15"/>
      <c r="L489" s="15"/>
      <c r="M489" s="15"/>
      <c r="N489" s="15"/>
      <c r="O489" s="15"/>
      <c r="P489" s="15"/>
      <c r="Q489" s="15"/>
      <c r="R489" s="15"/>
      <c r="S489" s="7">
        <f t="shared" si="119"/>
        <v>304</v>
      </c>
      <c r="T489" s="7" t="s">
        <v>748</v>
      </c>
      <c r="U489" s="66">
        <f>0.57*AF$480</f>
        <v>0.56999999999999995</v>
      </c>
      <c r="V489" s="31">
        <f t="shared" si="120"/>
        <v>173.27999999999997</v>
      </c>
      <c r="W489" s="35">
        <f>Rate!D$3</f>
        <v>34.5</v>
      </c>
      <c r="X489" s="110">
        <f t="shared" si="108"/>
        <v>5978.1599999999989</v>
      </c>
      <c r="Y489" s="110">
        <f t="shared" si="109"/>
        <v>0</v>
      </c>
      <c r="Z489" s="110">
        <f t="shared" si="110"/>
        <v>0</v>
      </c>
      <c r="AA489" s="110">
        <f t="shared" si="117"/>
        <v>0</v>
      </c>
      <c r="AB489" s="110">
        <f t="shared" si="121"/>
        <v>5978.1599999999989</v>
      </c>
      <c r="AC489" s="371" t="s">
        <v>163</v>
      </c>
      <c r="AD489" s="371" t="s">
        <v>148</v>
      </c>
      <c r="AE489" s="371" t="s">
        <v>149</v>
      </c>
      <c r="AF489" s="371"/>
    </row>
    <row r="490" spans="1:32" x14ac:dyDescent="0.2">
      <c r="A490" s="14" t="str">
        <f t="shared" si="118"/>
        <v>X</v>
      </c>
      <c r="B490" s="21" t="s">
        <v>575</v>
      </c>
      <c r="C490" s="15" t="s">
        <v>795</v>
      </c>
      <c r="D490" s="242"/>
      <c r="E490" s="280">
        <v>10</v>
      </c>
      <c r="F490" s="85" t="s">
        <v>0</v>
      </c>
      <c r="G490" s="85">
        <v>0.36499999999999999</v>
      </c>
      <c r="H490" s="15" t="s">
        <v>66</v>
      </c>
      <c r="I490" s="18">
        <v>103</v>
      </c>
      <c r="J490" s="15">
        <v>203</v>
      </c>
      <c r="K490" s="15"/>
      <c r="L490" s="15"/>
      <c r="M490" s="15"/>
      <c r="N490" s="15"/>
      <c r="O490" s="15"/>
      <c r="P490" s="15"/>
      <c r="Q490" s="15"/>
      <c r="R490" s="15"/>
      <c r="S490" s="7">
        <f t="shared" si="119"/>
        <v>306</v>
      </c>
      <c r="T490" s="7" t="s">
        <v>748</v>
      </c>
      <c r="U490" s="66">
        <f>0.72*AF$480</f>
        <v>0.72</v>
      </c>
      <c r="V490" s="31">
        <f t="shared" si="120"/>
        <v>220.32</v>
      </c>
      <c r="W490" s="35">
        <f>Rate!D$3</f>
        <v>34.5</v>
      </c>
      <c r="X490" s="110">
        <f t="shared" si="108"/>
        <v>7601.04</v>
      </c>
      <c r="Y490" s="110">
        <f t="shared" si="109"/>
        <v>0</v>
      </c>
      <c r="Z490" s="110">
        <f t="shared" si="110"/>
        <v>0</v>
      </c>
      <c r="AA490" s="110">
        <f t="shared" si="117"/>
        <v>0</v>
      </c>
      <c r="AB490" s="110">
        <f t="shared" si="121"/>
        <v>7601.04</v>
      </c>
      <c r="AC490" s="371" t="s">
        <v>163</v>
      </c>
      <c r="AD490" s="371" t="s">
        <v>148</v>
      </c>
      <c r="AE490" s="371" t="s">
        <v>149</v>
      </c>
      <c r="AF490" s="371"/>
    </row>
    <row r="491" spans="1:32" x14ac:dyDescent="0.2">
      <c r="A491" s="14" t="str">
        <f t="shared" si="118"/>
        <v>X</v>
      </c>
      <c r="B491" s="21" t="s">
        <v>575</v>
      </c>
      <c r="C491" s="15" t="s">
        <v>795</v>
      </c>
      <c r="D491" s="242"/>
      <c r="E491" s="280">
        <v>12</v>
      </c>
      <c r="F491" s="85" t="s">
        <v>0</v>
      </c>
      <c r="G491" s="85">
        <v>0.375</v>
      </c>
      <c r="H491" s="15" t="s">
        <v>66</v>
      </c>
      <c r="I491" s="18">
        <v>104</v>
      </c>
      <c r="J491" s="15">
        <v>204</v>
      </c>
      <c r="K491" s="15"/>
      <c r="L491" s="15"/>
      <c r="M491" s="15"/>
      <c r="N491" s="15"/>
      <c r="O491" s="15"/>
      <c r="P491" s="15"/>
      <c r="Q491" s="15"/>
      <c r="R491" s="15"/>
      <c r="S491" s="7">
        <f t="shared" si="119"/>
        <v>308</v>
      </c>
      <c r="T491" s="7" t="s">
        <v>748</v>
      </c>
      <c r="U491" s="66">
        <f>0.88*AF$480</f>
        <v>0.88</v>
      </c>
      <c r="V491" s="31">
        <f t="shared" si="120"/>
        <v>271.04000000000002</v>
      </c>
      <c r="W491" s="35">
        <f>Rate!D$3</f>
        <v>34.5</v>
      </c>
      <c r="X491" s="110">
        <f t="shared" si="108"/>
        <v>9350.880000000001</v>
      </c>
      <c r="Y491" s="110">
        <f t="shared" si="109"/>
        <v>0</v>
      </c>
      <c r="Z491" s="110">
        <f t="shared" si="110"/>
        <v>0</v>
      </c>
      <c r="AA491" s="110">
        <f t="shared" si="117"/>
        <v>0</v>
      </c>
      <c r="AB491" s="110">
        <f t="shared" si="121"/>
        <v>9350.880000000001</v>
      </c>
      <c r="AC491" s="371" t="s">
        <v>163</v>
      </c>
      <c r="AD491" s="371" t="s">
        <v>148</v>
      </c>
      <c r="AE491" s="371" t="s">
        <v>149</v>
      </c>
      <c r="AF491" s="371"/>
    </row>
    <row r="492" spans="1:32" hidden="1" x14ac:dyDescent="0.2">
      <c r="A492" s="14" t="str">
        <f t="shared" si="118"/>
        <v/>
      </c>
      <c r="B492" s="21" t="s">
        <v>575</v>
      </c>
      <c r="C492" s="15"/>
      <c r="D492" s="242"/>
      <c r="E492" s="280">
        <v>14</v>
      </c>
      <c r="F492" s="85" t="s">
        <v>0</v>
      </c>
      <c r="G492" s="85">
        <v>0.375</v>
      </c>
      <c r="H492" s="15" t="s">
        <v>66</v>
      </c>
      <c r="I492" s="18"/>
      <c r="J492" s="15"/>
      <c r="K492" s="15"/>
      <c r="L492" s="15"/>
      <c r="M492" s="15"/>
      <c r="N492" s="15"/>
      <c r="O492" s="15"/>
      <c r="P492" s="15"/>
      <c r="Q492" s="15"/>
      <c r="R492" s="15"/>
      <c r="S492" s="7">
        <f t="shared" si="119"/>
        <v>0</v>
      </c>
      <c r="T492" s="7" t="s">
        <v>748</v>
      </c>
      <c r="U492" s="66">
        <f>1.01*AF$480</f>
        <v>1.01</v>
      </c>
      <c r="V492" s="31">
        <f t="shared" si="120"/>
        <v>0</v>
      </c>
      <c r="W492" s="35">
        <f>Rate!D$3</f>
        <v>34.5</v>
      </c>
      <c r="X492" s="110">
        <f t="shared" si="108"/>
        <v>0</v>
      </c>
      <c r="Y492" s="110">
        <f t="shared" si="109"/>
        <v>0</v>
      </c>
      <c r="Z492" s="110">
        <f t="shared" si="110"/>
        <v>0</v>
      </c>
      <c r="AA492" s="110">
        <f t="shared" si="117"/>
        <v>0</v>
      </c>
      <c r="AB492" s="110">
        <f t="shared" si="121"/>
        <v>0</v>
      </c>
      <c r="AC492" s="371" t="s">
        <v>163</v>
      </c>
      <c r="AD492" s="371" t="s">
        <v>148</v>
      </c>
      <c r="AE492" s="371" t="s">
        <v>149</v>
      </c>
      <c r="AF492" s="371"/>
    </row>
    <row r="493" spans="1:32" hidden="1" x14ac:dyDescent="0.2">
      <c r="A493" s="14" t="str">
        <f t="shared" si="118"/>
        <v/>
      </c>
      <c r="B493" s="21" t="s">
        <v>575</v>
      </c>
      <c r="C493" s="15"/>
      <c r="D493" s="242"/>
      <c r="E493" s="280">
        <v>16</v>
      </c>
      <c r="F493" s="85" t="s">
        <v>0</v>
      </c>
      <c r="G493" s="85">
        <v>0.375</v>
      </c>
      <c r="H493" s="15" t="s">
        <v>66</v>
      </c>
      <c r="I493" s="18"/>
      <c r="J493" s="15"/>
      <c r="K493" s="15"/>
      <c r="L493" s="15"/>
      <c r="M493" s="15"/>
      <c r="N493" s="15"/>
      <c r="O493" s="15"/>
      <c r="P493" s="15"/>
      <c r="Q493" s="15"/>
      <c r="R493" s="15"/>
      <c r="S493" s="7">
        <f t="shared" si="119"/>
        <v>0</v>
      </c>
      <c r="T493" s="7" t="s">
        <v>748</v>
      </c>
      <c r="U493" s="66">
        <f>1.27*AF$480</f>
        <v>1.27</v>
      </c>
      <c r="V493" s="31">
        <f t="shared" si="120"/>
        <v>0</v>
      </c>
      <c r="W493" s="35">
        <f>Rate!D$3</f>
        <v>34.5</v>
      </c>
      <c r="X493" s="110">
        <f t="shared" si="108"/>
        <v>0</v>
      </c>
      <c r="Y493" s="110">
        <f t="shared" si="109"/>
        <v>0</v>
      </c>
      <c r="Z493" s="110">
        <f t="shared" si="110"/>
        <v>0</v>
      </c>
      <c r="AA493" s="110">
        <f t="shared" si="117"/>
        <v>0</v>
      </c>
      <c r="AB493" s="110">
        <f t="shared" si="121"/>
        <v>0</v>
      </c>
      <c r="AC493" s="371" t="s">
        <v>163</v>
      </c>
      <c r="AD493" s="371" t="s">
        <v>148</v>
      </c>
      <c r="AE493" s="371" t="s">
        <v>149</v>
      </c>
      <c r="AF493" s="371"/>
    </row>
    <row r="494" spans="1:32" hidden="1" x14ac:dyDescent="0.2">
      <c r="A494" s="14" t="str">
        <f t="shared" si="118"/>
        <v/>
      </c>
      <c r="B494" s="21" t="s">
        <v>575</v>
      </c>
      <c r="C494" s="15"/>
      <c r="D494" s="242"/>
      <c r="E494" s="280">
        <v>18</v>
      </c>
      <c r="F494" s="85" t="s">
        <v>0</v>
      </c>
      <c r="G494" s="85">
        <v>0.375</v>
      </c>
      <c r="H494" s="15" t="s">
        <v>66</v>
      </c>
      <c r="I494" s="18"/>
      <c r="J494" s="15"/>
      <c r="K494" s="15"/>
      <c r="L494" s="15"/>
      <c r="M494" s="15"/>
      <c r="N494" s="15"/>
      <c r="O494" s="15"/>
      <c r="P494" s="15"/>
      <c r="Q494" s="15"/>
      <c r="R494" s="15"/>
      <c r="S494" s="7">
        <f t="shared" si="119"/>
        <v>0</v>
      </c>
      <c r="T494" s="7" t="s">
        <v>748</v>
      </c>
      <c r="U494" s="66">
        <f>1.48*AF$480</f>
        <v>1.48</v>
      </c>
      <c r="V494" s="31">
        <f t="shared" si="120"/>
        <v>0</v>
      </c>
      <c r="W494" s="35">
        <f>Rate!D$3</f>
        <v>34.5</v>
      </c>
      <c r="X494" s="110">
        <f t="shared" si="108"/>
        <v>0</v>
      </c>
      <c r="Y494" s="110">
        <f t="shared" si="109"/>
        <v>0</v>
      </c>
      <c r="Z494" s="110">
        <f t="shared" si="110"/>
        <v>0</v>
      </c>
      <c r="AA494" s="110">
        <f t="shared" si="117"/>
        <v>0</v>
      </c>
      <c r="AB494" s="110">
        <f t="shared" si="121"/>
        <v>0</v>
      </c>
      <c r="AC494" s="371" t="s">
        <v>163</v>
      </c>
      <c r="AD494" s="371" t="s">
        <v>148</v>
      </c>
      <c r="AE494" s="371" t="s">
        <v>149</v>
      </c>
      <c r="AF494" s="371"/>
    </row>
    <row r="495" spans="1:32" hidden="1" x14ac:dyDescent="0.2">
      <c r="A495" s="14" t="str">
        <f t="shared" si="118"/>
        <v/>
      </c>
      <c r="B495" s="21" t="s">
        <v>575</v>
      </c>
      <c r="C495" s="15"/>
      <c r="D495" s="242"/>
      <c r="E495" s="280">
        <v>20</v>
      </c>
      <c r="F495" s="85" t="s">
        <v>0</v>
      </c>
      <c r="G495" s="85">
        <v>0.375</v>
      </c>
      <c r="H495" s="15" t="s">
        <v>66</v>
      </c>
      <c r="I495" s="18"/>
      <c r="J495" s="15"/>
      <c r="K495" s="15"/>
      <c r="L495" s="15"/>
      <c r="M495" s="15"/>
      <c r="N495" s="15"/>
      <c r="O495" s="15"/>
      <c r="P495" s="15"/>
      <c r="Q495" s="15"/>
      <c r="R495" s="15"/>
      <c r="S495" s="7">
        <f t="shared" si="119"/>
        <v>0</v>
      </c>
      <c r="T495" s="7" t="s">
        <v>748</v>
      </c>
      <c r="U495" s="66">
        <f>1.74*AF$480</f>
        <v>1.74</v>
      </c>
      <c r="V495" s="31">
        <f t="shared" si="120"/>
        <v>0</v>
      </c>
      <c r="W495" s="35">
        <f>Rate!D$3</f>
        <v>34.5</v>
      </c>
      <c r="X495" s="110">
        <f t="shared" si="108"/>
        <v>0</v>
      </c>
      <c r="Y495" s="110">
        <f t="shared" si="109"/>
        <v>0</v>
      </c>
      <c r="Z495" s="110">
        <f t="shared" si="110"/>
        <v>0</v>
      </c>
      <c r="AA495" s="110">
        <f t="shared" si="117"/>
        <v>0</v>
      </c>
      <c r="AB495" s="110">
        <f t="shared" si="121"/>
        <v>0</v>
      </c>
      <c r="AC495" s="371" t="s">
        <v>163</v>
      </c>
      <c r="AD495" s="371" t="s">
        <v>148</v>
      </c>
      <c r="AE495" s="371" t="s">
        <v>149</v>
      </c>
      <c r="AF495" s="371"/>
    </row>
    <row r="496" spans="1:32" hidden="1" x14ac:dyDescent="0.2">
      <c r="A496" s="14" t="str">
        <f t="shared" si="118"/>
        <v/>
      </c>
      <c r="B496" s="21" t="s">
        <v>575</v>
      </c>
      <c r="C496" s="15"/>
      <c r="D496" s="242"/>
      <c r="E496" s="280">
        <v>24</v>
      </c>
      <c r="F496" s="85" t="s">
        <v>0</v>
      </c>
      <c r="G496" s="85">
        <v>0.375</v>
      </c>
      <c r="H496" s="15" t="s">
        <v>66</v>
      </c>
      <c r="I496" s="18"/>
      <c r="J496" s="15"/>
      <c r="K496" s="15"/>
      <c r="L496" s="15"/>
      <c r="M496" s="15"/>
      <c r="N496" s="15"/>
      <c r="O496" s="15"/>
      <c r="P496" s="15"/>
      <c r="Q496" s="15"/>
      <c r="R496" s="15"/>
      <c r="S496" s="7">
        <f t="shared" si="119"/>
        <v>0</v>
      </c>
      <c r="T496" s="7" t="s">
        <v>748</v>
      </c>
      <c r="U496" s="66">
        <f>1.94*AF$480</f>
        <v>1.94</v>
      </c>
      <c r="V496" s="31">
        <f t="shared" si="120"/>
        <v>0</v>
      </c>
      <c r="W496" s="35">
        <f>Rate!D$3</f>
        <v>34.5</v>
      </c>
      <c r="X496" s="110">
        <f t="shared" si="108"/>
        <v>0</v>
      </c>
      <c r="Y496" s="110">
        <f t="shared" si="109"/>
        <v>0</v>
      </c>
      <c r="Z496" s="110">
        <f t="shared" si="110"/>
        <v>0</v>
      </c>
      <c r="AA496" s="110">
        <f t="shared" si="117"/>
        <v>0</v>
      </c>
      <c r="AB496" s="110">
        <f t="shared" si="121"/>
        <v>0</v>
      </c>
      <c r="AC496" s="371" t="s">
        <v>163</v>
      </c>
      <c r="AD496" s="371" t="s">
        <v>148</v>
      </c>
      <c r="AE496" s="371" t="s">
        <v>149</v>
      </c>
      <c r="AF496" s="371"/>
    </row>
    <row r="497" spans="1:32" hidden="1" x14ac:dyDescent="0.2">
      <c r="A497" s="14" t="str">
        <f t="shared" si="118"/>
        <v/>
      </c>
      <c r="B497" s="21" t="s">
        <v>575</v>
      </c>
      <c r="C497" s="15"/>
      <c r="D497" s="242"/>
      <c r="E497" s="280">
        <v>30</v>
      </c>
      <c r="F497" s="85" t="s">
        <v>0</v>
      </c>
      <c r="G497" s="85">
        <v>0.375</v>
      </c>
      <c r="H497" s="15" t="s">
        <v>66</v>
      </c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7">
        <f t="shared" si="119"/>
        <v>0</v>
      </c>
      <c r="T497" s="7" t="s">
        <v>748</v>
      </c>
      <c r="U497" s="66">
        <f>2.07*AF$480</f>
        <v>2.0699999999999998</v>
      </c>
      <c r="V497" s="31">
        <f t="shared" si="120"/>
        <v>0</v>
      </c>
      <c r="W497" s="35">
        <f>Rate!D$3</f>
        <v>34.5</v>
      </c>
      <c r="X497" s="110">
        <f t="shared" si="108"/>
        <v>0</v>
      </c>
      <c r="Y497" s="110">
        <f t="shared" si="109"/>
        <v>0</v>
      </c>
      <c r="Z497" s="110">
        <f t="shared" si="110"/>
        <v>0</v>
      </c>
      <c r="AA497" s="110">
        <f t="shared" si="117"/>
        <v>0</v>
      </c>
      <c r="AB497" s="110">
        <f t="shared" si="121"/>
        <v>0</v>
      </c>
      <c r="AC497" s="371" t="s">
        <v>163</v>
      </c>
      <c r="AD497" s="371" t="s">
        <v>148</v>
      </c>
      <c r="AE497" s="371" t="s">
        <v>149</v>
      </c>
      <c r="AF497" s="371"/>
    </row>
    <row r="498" spans="1:32" hidden="1" x14ac:dyDescent="0.2">
      <c r="A498" s="14" t="str">
        <f t="shared" si="118"/>
        <v/>
      </c>
      <c r="B498" s="21" t="s">
        <v>575</v>
      </c>
      <c r="C498" s="15"/>
      <c r="D498" s="242"/>
      <c r="E498" s="280">
        <v>36</v>
      </c>
      <c r="F498" s="85" t="s">
        <v>0</v>
      </c>
      <c r="G498" s="85">
        <v>0.375</v>
      </c>
      <c r="H498" s="15" t="s">
        <v>66</v>
      </c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7">
        <f t="shared" si="119"/>
        <v>0</v>
      </c>
      <c r="T498" s="7" t="s">
        <v>748</v>
      </c>
      <c r="U498" s="66">
        <f>2.46*AF$480</f>
        <v>2.46</v>
      </c>
      <c r="V498" s="31">
        <f t="shared" si="120"/>
        <v>0</v>
      </c>
      <c r="W498" s="35">
        <f>Rate!D$3</f>
        <v>34.5</v>
      </c>
      <c r="X498" s="110">
        <f t="shared" si="108"/>
        <v>0</v>
      </c>
      <c r="Y498" s="110">
        <f t="shared" si="109"/>
        <v>0</v>
      </c>
      <c r="Z498" s="110">
        <f t="shared" si="110"/>
        <v>0</v>
      </c>
      <c r="AA498" s="110">
        <f t="shared" si="117"/>
        <v>0</v>
      </c>
      <c r="AB498" s="110">
        <f t="shared" si="121"/>
        <v>0</v>
      </c>
      <c r="AC498" s="371" t="s">
        <v>163</v>
      </c>
      <c r="AD498" s="371" t="s">
        <v>148</v>
      </c>
      <c r="AE498" s="371" t="s">
        <v>149</v>
      </c>
      <c r="AF498" s="371"/>
    </row>
    <row r="499" spans="1:32" hidden="1" x14ac:dyDescent="0.2">
      <c r="A499" s="14" t="str">
        <f t="shared" si="118"/>
        <v/>
      </c>
      <c r="B499" s="21" t="s">
        <v>575</v>
      </c>
      <c r="C499" s="15"/>
      <c r="D499" s="242"/>
      <c r="E499" s="280">
        <v>48</v>
      </c>
      <c r="F499" s="85" t="s">
        <v>0</v>
      </c>
      <c r="G499" s="85">
        <v>0.375</v>
      </c>
      <c r="H499" s="15" t="s">
        <v>66</v>
      </c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7">
        <f t="shared" si="119"/>
        <v>0</v>
      </c>
      <c r="T499" s="7" t="s">
        <v>748</v>
      </c>
      <c r="U499" s="66">
        <f>3.19*AF$480</f>
        <v>3.19</v>
      </c>
      <c r="V499" s="31">
        <f t="shared" si="120"/>
        <v>0</v>
      </c>
      <c r="W499" s="35">
        <f>Rate!D$3</f>
        <v>34.5</v>
      </c>
      <c r="X499" s="110">
        <f t="shared" ref="X499:X546" si="122">IF(H499="L",V499*W499,0)</f>
        <v>0</v>
      </c>
      <c r="Y499" s="110">
        <f t="shared" ref="Y499:Y546" si="123">IF(H499="M",S499*W499,0)</f>
        <v>0</v>
      </c>
      <c r="Z499" s="110">
        <f t="shared" ref="Z499:Z546" si="124">IF(H499="S",S499*W499,0)</f>
        <v>0</v>
      </c>
      <c r="AA499" s="110">
        <f t="shared" si="117"/>
        <v>0</v>
      </c>
      <c r="AB499" s="110">
        <f t="shared" si="121"/>
        <v>0</v>
      </c>
      <c r="AC499" s="371" t="s">
        <v>163</v>
      </c>
      <c r="AD499" s="371" t="s">
        <v>148</v>
      </c>
      <c r="AE499" s="371" t="s">
        <v>149</v>
      </c>
      <c r="AF499" s="371"/>
    </row>
    <row r="500" spans="1:32" hidden="1" x14ac:dyDescent="0.2">
      <c r="A500" s="14" t="str">
        <f t="shared" si="118"/>
        <v/>
      </c>
      <c r="B500" s="21" t="s">
        <v>575</v>
      </c>
      <c r="C500" s="15"/>
      <c r="D500" s="242"/>
      <c r="E500" s="280">
        <v>0.5</v>
      </c>
      <c r="F500" s="85" t="s">
        <v>1</v>
      </c>
      <c r="G500" s="85">
        <v>0.14699999999999999</v>
      </c>
      <c r="H500" s="15" t="s">
        <v>66</v>
      </c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7">
        <f t="shared" si="119"/>
        <v>0</v>
      </c>
      <c r="T500" s="7" t="s">
        <v>748</v>
      </c>
      <c r="U500" s="66">
        <f>0.3*AF$480</f>
        <v>0.3</v>
      </c>
      <c r="V500" s="31">
        <f t="shared" si="120"/>
        <v>0</v>
      </c>
      <c r="W500" s="35">
        <f>Rate!D$3</f>
        <v>34.5</v>
      </c>
      <c r="X500" s="110">
        <f t="shared" si="122"/>
        <v>0</v>
      </c>
      <c r="Y500" s="110">
        <f t="shared" si="123"/>
        <v>0</v>
      </c>
      <c r="Z500" s="110">
        <f t="shared" si="124"/>
        <v>0</v>
      </c>
      <c r="AA500" s="110">
        <f t="shared" si="117"/>
        <v>0</v>
      </c>
      <c r="AB500" s="110">
        <f t="shared" si="121"/>
        <v>0</v>
      </c>
      <c r="AC500" s="371" t="s">
        <v>163</v>
      </c>
      <c r="AD500" s="371" t="s">
        <v>148</v>
      </c>
      <c r="AE500" s="371" t="s">
        <v>149</v>
      </c>
      <c r="AF500" s="371"/>
    </row>
    <row r="501" spans="1:32" hidden="1" x14ac:dyDescent="0.2">
      <c r="A501" s="14" t="str">
        <f t="shared" si="118"/>
        <v/>
      </c>
      <c r="B501" s="21" t="s">
        <v>575</v>
      </c>
      <c r="C501" s="15"/>
      <c r="D501" s="242"/>
      <c r="E501" s="280">
        <v>0.75</v>
      </c>
      <c r="F501" s="85" t="s">
        <v>1</v>
      </c>
      <c r="G501" s="85">
        <v>0.154</v>
      </c>
      <c r="H501" s="15" t="s">
        <v>66</v>
      </c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7">
        <f t="shared" si="119"/>
        <v>0</v>
      </c>
      <c r="T501" s="7" t="s">
        <v>748</v>
      </c>
      <c r="U501" s="66">
        <f>0.32*AF$480</f>
        <v>0.32</v>
      </c>
      <c r="V501" s="31">
        <f t="shared" si="120"/>
        <v>0</v>
      </c>
      <c r="W501" s="35">
        <f>Rate!D$3</f>
        <v>34.5</v>
      </c>
      <c r="X501" s="110">
        <f t="shared" si="122"/>
        <v>0</v>
      </c>
      <c r="Y501" s="110">
        <f t="shared" si="123"/>
        <v>0</v>
      </c>
      <c r="Z501" s="110">
        <f t="shared" si="124"/>
        <v>0</v>
      </c>
      <c r="AA501" s="110">
        <f t="shared" si="117"/>
        <v>0</v>
      </c>
      <c r="AB501" s="110">
        <f t="shared" si="121"/>
        <v>0</v>
      </c>
      <c r="AC501" s="371" t="s">
        <v>163</v>
      </c>
      <c r="AD501" s="371" t="s">
        <v>148</v>
      </c>
      <c r="AE501" s="371" t="s">
        <v>149</v>
      </c>
      <c r="AF501" s="371"/>
    </row>
    <row r="502" spans="1:32" hidden="1" x14ac:dyDescent="0.2">
      <c r="A502" s="14" t="str">
        <f t="shared" si="118"/>
        <v/>
      </c>
      <c r="B502" s="21" t="s">
        <v>575</v>
      </c>
      <c r="C502" s="15"/>
      <c r="D502" s="242"/>
      <c r="E502" s="280">
        <v>1</v>
      </c>
      <c r="F502" s="85" t="s">
        <v>1</v>
      </c>
      <c r="G502" s="85">
        <v>0.17899999999999999</v>
      </c>
      <c r="H502" s="15" t="s">
        <v>66</v>
      </c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7">
        <f t="shared" si="119"/>
        <v>0</v>
      </c>
      <c r="T502" s="7" t="s">
        <v>748</v>
      </c>
      <c r="U502" s="66">
        <f>0.34*AF$480</f>
        <v>0.34</v>
      </c>
      <c r="V502" s="31">
        <f t="shared" si="120"/>
        <v>0</v>
      </c>
      <c r="W502" s="35">
        <f>Rate!D$3</f>
        <v>34.5</v>
      </c>
      <c r="X502" s="110">
        <f t="shared" si="122"/>
        <v>0</v>
      </c>
      <c r="Y502" s="110">
        <f t="shared" si="123"/>
        <v>0</v>
      </c>
      <c r="Z502" s="110">
        <f t="shared" si="124"/>
        <v>0</v>
      </c>
      <c r="AA502" s="110">
        <f t="shared" si="117"/>
        <v>0</v>
      </c>
      <c r="AB502" s="110">
        <f t="shared" si="121"/>
        <v>0</v>
      </c>
      <c r="AC502" s="371" t="s">
        <v>163</v>
      </c>
      <c r="AD502" s="371" t="s">
        <v>148</v>
      </c>
      <c r="AE502" s="371" t="s">
        <v>149</v>
      </c>
      <c r="AF502" s="371"/>
    </row>
    <row r="503" spans="1:32" hidden="1" x14ac:dyDescent="0.2">
      <c r="A503" s="14" t="str">
        <f t="shared" si="118"/>
        <v/>
      </c>
      <c r="B503" s="21" t="s">
        <v>575</v>
      </c>
      <c r="C503" s="15"/>
      <c r="D503" s="242"/>
      <c r="E503" s="280">
        <v>1.5</v>
      </c>
      <c r="F503" s="85" t="s">
        <v>1</v>
      </c>
      <c r="G503" s="85">
        <v>0.2</v>
      </c>
      <c r="H503" s="15" t="s">
        <v>66</v>
      </c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7">
        <f t="shared" si="119"/>
        <v>0</v>
      </c>
      <c r="T503" s="7" t="s">
        <v>748</v>
      </c>
      <c r="U503" s="66">
        <f>0.37*AF$480</f>
        <v>0.37</v>
      </c>
      <c r="V503" s="31">
        <f t="shared" si="120"/>
        <v>0</v>
      </c>
      <c r="W503" s="35">
        <f>Rate!D$3</f>
        <v>34.5</v>
      </c>
      <c r="X503" s="110">
        <f t="shared" si="122"/>
        <v>0</v>
      </c>
      <c r="Y503" s="110">
        <f t="shared" si="123"/>
        <v>0</v>
      </c>
      <c r="Z503" s="110">
        <f t="shared" si="124"/>
        <v>0</v>
      </c>
      <c r="AA503" s="110">
        <f t="shared" si="117"/>
        <v>0</v>
      </c>
      <c r="AB503" s="110">
        <f t="shared" si="121"/>
        <v>0</v>
      </c>
      <c r="AC503" s="371" t="s">
        <v>163</v>
      </c>
      <c r="AD503" s="371" t="s">
        <v>148</v>
      </c>
      <c r="AE503" s="371" t="s">
        <v>149</v>
      </c>
      <c r="AF503" s="371"/>
    </row>
    <row r="504" spans="1:32" hidden="1" x14ac:dyDescent="0.2">
      <c r="A504" s="14" t="str">
        <f t="shared" si="118"/>
        <v/>
      </c>
      <c r="B504" s="21" t="s">
        <v>575</v>
      </c>
      <c r="C504" s="15"/>
      <c r="D504" s="242"/>
      <c r="E504" s="280">
        <v>2</v>
      </c>
      <c r="F504" s="85" t="s">
        <v>1</v>
      </c>
      <c r="G504" s="85">
        <v>0.218</v>
      </c>
      <c r="H504" s="15" t="s">
        <v>66</v>
      </c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7">
        <f t="shared" si="119"/>
        <v>0</v>
      </c>
      <c r="T504" s="7" t="s">
        <v>748</v>
      </c>
      <c r="U504" s="66">
        <f>0.4*AF$480</f>
        <v>0.4</v>
      </c>
      <c r="V504" s="31">
        <f t="shared" si="120"/>
        <v>0</v>
      </c>
      <c r="W504" s="35">
        <f>Rate!D$3</f>
        <v>34.5</v>
      </c>
      <c r="X504" s="110">
        <f t="shared" si="122"/>
        <v>0</v>
      </c>
      <c r="Y504" s="110">
        <f t="shared" si="123"/>
        <v>0</v>
      </c>
      <c r="Z504" s="110">
        <f t="shared" si="124"/>
        <v>0</v>
      </c>
      <c r="AA504" s="110">
        <f t="shared" si="117"/>
        <v>0</v>
      </c>
      <c r="AB504" s="110">
        <f t="shared" si="121"/>
        <v>0</v>
      </c>
      <c r="AC504" s="371" t="s">
        <v>163</v>
      </c>
      <c r="AD504" s="371" t="s">
        <v>148</v>
      </c>
      <c r="AE504" s="371" t="s">
        <v>149</v>
      </c>
      <c r="AF504" s="371"/>
    </row>
    <row r="505" spans="1:32" hidden="1" x14ac:dyDescent="0.2">
      <c r="A505" s="14" t="str">
        <f t="shared" si="118"/>
        <v/>
      </c>
      <c r="B505" s="21" t="s">
        <v>575</v>
      </c>
      <c r="C505" s="15"/>
      <c r="D505" s="242"/>
      <c r="E505" s="280">
        <v>3</v>
      </c>
      <c r="F505" s="85" t="s">
        <v>1</v>
      </c>
      <c r="G505" s="85">
        <v>0.3</v>
      </c>
      <c r="H505" s="15" t="s">
        <v>66</v>
      </c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7">
        <f t="shared" si="119"/>
        <v>0</v>
      </c>
      <c r="T505" s="7" t="s">
        <v>748</v>
      </c>
      <c r="U505" s="66">
        <f>0.48*AF$480</f>
        <v>0.48</v>
      </c>
      <c r="V505" s="31">
        <f t="shared" si="120"/>
        <v>0</v>
      </c>
      <c r="W505" s="35">
        <f>Rate!D$3</f>
        <v>34.5</v>
      </c>
      <c r="X505" s="110">
        <f t="shared" si="122"/>
        <v>0</v>
      </c>
      <c r="Y505" s="110">
        <f t="shared" si="123"/>
        <v>0</v>
      </c>
      <c r="Z505" s="110">
        <f t="shared" si="124"/>
        <v>0</v>
      </c>
      <c r="AA505" s="110">
        <f t="shared" si="117"/>
        <v>0</v>
      </c>
      <c r="AB505" s="110">
        <f>SUM(X505:AA505)</f>
        <v>0</v>
      </c>
      <c r="AC505" s="371" t="s">
        <v>163</v>
      </c>
      <c r="AD505" s="371" t="s">
        <v>148</v>
      </c>
      <c r="AE505" s="371" t="s">
        <v>149</v>
      </c>
      <c r="AF505" s="371"/>
    </row>
    <row r="506" spans="1:32" hidden="1" x14ac:dyDescent="0.2">
      <c r="A506" s="14" t="str">
        <f t="shared" si="118"/>
        <v/>
      </c>
      <c r="B506" s="21" t="s">
        <v>575</v>
      </c>
      <c r="C506" s="15"/>
      <c r="D506" s="242"/>
      <c r="E506" s="280">
        <v>4</v>
      </c>
      <c r="F506" s="85" t="s">
        <v>1</v>
      </c>
      <c r="G506" s="85">
        <v>0.33700000000000002</v>
      </c>
      <c r="H506" s="15" t="s">
        <v>66</v>
      </c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7">
        <f t="shared" si="119"/>
        <v>0</v>
      </c>
      <c r="T506" s="7" t="s">
        <v>748</v>
      </c>
      <c r="U506" s="66">
        <f>0.52*AF$480</f>
        <v>0.52</v>
      </c>
      <c r="V506" s="31">
        <f t="shared" si="120"/>
        <v>0</v>
      </c>
      <c r="W506" s="35">
        <f>Rate!D$3</f>
        <v>34.5</v>
      </c>
      <c r="X506" s="110">
        <f t="shared" si="122"/>
        <v>0</v>
      </c>
      <c r="Y506" s="110">
        <f t="shared" si="123"/>
        <v>0</v>
      </c>
      <c r="Z506" s="110">
        <f t="shared" si="124"/>
        <v>0</v>
      </c>
      <c r="AA506" s="110">
        <f t="shared" si="117"/>
        <v>0</v>
      </c>
      <c r="AB506" s="110">
        <f t="shared" si="121"/>
        <v>0</v>
      </c>
      <c r="AC506" s="371" t="s">
        <v>163</v>
      </c>
      <c r="AD506" s="371" t="s">
        <v>148</v>
      </c>
      <c r="AE506" s="371" t="s">
        <v>149</v>
      </c>
      <c r="AF506" s="371"/>
    </row>
    <row r="507" spans="1:32" hidden="1" x14ac:dyDescent="0.2">
      <c r="A507" s="14" t="str">
        <f t="shared" si="118"/>
        <v/>
      </c>
      <c r="B507" s="21" t="s">
        <v>575</v>
      </c>
      <c r="C507" s="15"/>
      <c r="D507" s="242"/>
      <c r="E507" s="280">
        <v>6</v>
      </c>
      <c r="F507" s="85" t="s">
        <v>1</v>
      </c>
      <c r="G507" s="85">
        <v>0.432</v>
      </c>
      <c r="H507" s="15" t="s">
        <v>66</v>
      </c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7">
        <f t="shared" si="119"/>
        <v>0</v>
      </c>
      <c r="T507" s="7" t="s">
        <v>748</v>
      </c>
      <c r="U507" s="66">
        <f>0.64*AF$480</f>
        <v>0.64</v>
      </c>
      <c r="V507" s="31">
        <f t="shared" si="120"/>
        <v>0</v>
      </c>
      <c r="W507" s="35">
        <f>Rate!D$3</f>
        <v>34.5</v>
      </c>
      <c r="X507" s="110">
        <f t="shared" si="122"/>
        <v>0</v>
      </c>
      <c r="Y507" s="110">
        <f t="shared" si="123"/>
        <v>0</v>
      </c>
      <c r="Z507" s="110">
        <f t="shared" si="124"/>
        <v>0</v>
      </c>
      <c r="AA507" s="110">
        <f t="shared" si="117"/>
        <v>0</v>
      </c>
      <c r="AB507" s="110">
        <f t="shared" si="121"/>
        <v>0</v>
      </c>
      <c r="AC507" s="371" t="s">
        <v>163</v>
      </c>
      <c r="AD507" s="371" t="s">
        <v>148</v>
      </c>
      <c r="AE507" s="371" t="s">
        <v>149</v>
      </c>
      <c r="AF507" s="371"/>
    </row>
    <row r="508" spans="1:32" hidden="1" x14ac:dyDescent="0.2">
      <c r="A508" s="14" t="str">
        <f t="shared" si="118"/>
        <v/>
      </c>
      <c r="B508" s="21" t="s">
        <v>575</v>
      </c>
      <c r="C508" s="15"/>
      <c r="D508" s="242"/>
      <c r="E508" s="280">
        <v>8</v>
      </c>
      <c r="F508" s="85" t="s">
        <v>1</v>
      </c>
      <c r="G508" s="85">
        <v>0.5</v>
      </c>
      <c r="H508" s="15" t="s">
        <v>66</v>
      </c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7">
        <f t="shared" si="119"/>
        <v>0</v>
      </c>
      <c r="T508" s="7" t="s">
        <v>748</v>
      </c>
      <c r="U508" s="66">
        <f>0.81*AF$480</f>
        <v>0.81</v>
      </c>
      <c r="V508" s="31">
        <f t="shared" si="120"/>
        <v>0</v>
      </c>
      <c r="W508" s="35">
        <f>Rate!D$3</f>
        <v>34.5</v>
      </c>
      <c r="X508" s="110">
        <f t="shared" si="122"/>
        <v>0</v>
      </c>
      <c r="Y508" s="110">
        <f t="shared" si="123"/>
        <v>0</v>
      </c>
      <c r="Z508" s="110">
        <f t="shared" si="124"/>
        <v>0</v>
      </c>
      <c r="AA508" s="110">
        <f t="shared" si="117"/>
        <v>0</v>
      </c>
      <c r="AB508" s="110">
        <f t="shared" si="121"/>
        <v>0</v>
      </c>
      <c r="AC508" s="371" t="s">
        <v>163</v>
      </c>
      <c r="AD508" s="371" t="s">
        <v>148</v>
      </c>
      <c r="AE508" s="371" t="s">
        <v>149</v>
      </c>
      <c r="AF508" s="371"/>
    </row>
    <row r="509" spans="1:32" hidden="1" x14ac:dyDescent="0.2">
      <c r="A509" s="14" t="str">
        <f t="shared" si="118"/>
        <v/>
      </c>
      <c r="B509" s="21" t="s">
        <v>575</v>
      </c>
      <c r="C509" s="15"/>
      <c r="D509" s="242"/>
      <c r="E509" s="280">
        <v>10</v>
      </c>
      <c r="F509" s="85" t="s">
        <v>1</v>
      </c>
      <c r="G509" s="85">
        <v>0.5</v>
      </c>
      <c r="H509" s="15" t="s">
        <v>66</v>
      </c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7">
        <f t="shared" si="119"/>
        <v>0</v>
      </c>
      <c r="T509" s="7" t="s">
        <v>748</v>
      </c>
      <c r="U509" s="66">
        <f>1*AF$480</f>
        <v>1</v>
      </c>
      <c r="V509" s="31">
        <f t="shared" si="120"/>
        <v>0</v>
      </c>
      <c r="W509" s="35">
        <f>Rate!D$3</f>
        <v>34.5</v>
      </c>
      <c r="X509" s="110">
        <f t="shared" si="122"/>
        <v>0</v>
      </c>
      <c r="Y509" s="110">
        <f t="shared" si="123"/>
        <v>0</v>
      </c>
      <c r="Z509" s="110">
        <f t="shared" si="124"/>
        <v>0</v>
      </c>
      <c r="AA509" s="110">
        <f t="shared" si="117"/>
        <v>0</v>
      </c>
      <c r="AB509" s="110">
        <f t="shared" si="121"/>
        <v>0</v>
      </c>
      <c r="AC509" s="371" t="s">
        <v>163</v>
      </c>
      <c r="AD509" s="371" t="s">
        <v>148</v>
      </c>
      <c r="AE509" s="371" t="s">
        <v>149</v>
      </c>
      <c r="AF509" s="371"/>
    </row>
    <row r="510" spans="1:32" hidden="1" x14ac:dyDescent="0.2">
      <c r="A510" s="14" t="str">
        <f t="shared" si="118"/>
        <v/>
      </c>
      <c r="B510" s="21" t="s">
        <v>575</v>
      </c>
      <c r="C510" s="15"/>
      <c r="D510" s="242"/>
      <c r="E510" s="280">
        <v>12</v>
      </c>
      <c r="F510" s="85" t="s">
        <v>1</v>
      </c>
      <c r="G510" s="85">
        <v>0.5</v>
      </c>
      <c r="H510" s="15" t="s">
        <v>66</v>
      </c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7">
        <f t="shared" si="119"/>
        <v>0</v>
      </c>
      <c r="T510" s="7" t="s">
        <v>748</v>
      </c>
      <c r="U510" s="66">
        <f>1.23*AF$480</f>
        <v>1.23</v>
      </c>
      <c r="V510" s="31">
        <f t="shared" si="120"/>
        <v>0</v>
      </c>
      <c r="W510" s="35">
        <f>Rate!D$3</f>
        <v>34.5</v>
      </c>
      <c r="X510" s="110">
        <f t="shared" si="122"/>
        <v>0</v>
      </c>
      <c r="Y510" s="110">
        <f t="shared" si="123"/>
        <v>0</v>
      </c>
      <c r="Z510" s="110">
        <f t="shared" si="124"/>
        <v>0</v>
      </c>
      <c r="AA510" s="110">
        <f t="shared" si="117"/>
        <v>0</v>
      </c>
      <c r="AB510" s="110">
        <f t="shared" si="121"/>
        <v>0</v>
      </c>
      <c r="AC510" s="371" t="s">
        <v>163</v>
      </c>
      <c r="AD510" s="371" t="s">
        <v>148</v>
      </c>
      <c r="AE510" s="371" t="s">
        <v>149</v>
      </c>
      <c r="AF510" s="371"/>
    </row>
    <row r="511" spans="1:32" hidden="1" x14ac:dyDescent="0.2">
      <c r="A511" s="14" t="str">
        <f t="shared" si="118"/>
        <v/>
      </c>
      <c r="B511" s="21" t="s">
        <v>575</v>
      </c>
      <c r="C511" s="15"/>
      <c r="D511" s="242"/>
      <c r="E511" s="280">
        <v>14</v>
      </c>
      <c r="F511" s="85" t="s">
        <v>1</v>
      </c>
      <c r="G511" s="85">
        <v>0.5</v>
      </c>
      <c r="H511" s="15" t="s">
        <v>66</v>
      </c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7">
        <f t="shared" si="119"/>
        <v>0</v>
      </c>
      <c r="T511" s="7" t="s">
        <v>748</v>
      </c>
      <c r="U511" s="66">
        <f>1.46*AF$480</f>
        <v>1.46</v>
      </c>
      <c r="V511" s="31">
        <f t="shared" si="120"/>
        <v>0</v>
      </c>
      <c r="W511" s="35">
        <f>Rate!D$3</f>
        <v>34.5</v>
      </c>
      <c r="X511" s="110">
        <f t="shared" si="122"/>
        <v>0</v>
      </c>
      <c r="Y511" s="110">
        <f t="shared" si="123"/>
        <v>0</v>
      </c>
      <c r="Z511" s="110">
        <f t="shared" si="124"/>
        <v>0</v>
      </c>
      <c r="AA511" s="110">
        <f t="shared" si="117"/>
        <v>0</v>
      </c>
      <c r="AB511" s="110">
        <f t="shared" si="121"/>
        <v>0</v>
      </c>
      <c r="AC511" s="371" t="s">
        <v>163</v>
      </c>
      <c r="AD511" s="371" t="s">
        <v>148</v>
      </c>
      <c r="AE511" s="371" t="s">
        <v>149</v>
      </c>
      <c r="AF511" s="371"/>
    </row>
    <row r="512" spans="1:32" hidden="1" x14ac:dyDescent="0.2">
      <c r="A512" s="14" t="str">
        <f t="shared" si="118"/>
        <v/>
      </c>
      <c r="B512" s="21" t="s">
        <v>575</v>
      </c>
      <c r="C512" s="15"/>
      <c r="D512" s="242"/>
      <c r="E512" s="280">
        <v>16</v>
      </c>
      <c r="F512" s="85" t="s">
        <v>1</v>
      </c>
      <c r="G512" s="85">
        <v>0.5</v>
      </c>
      <c r="H512" s="15" t="s">
        <v>66</v>
      </c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7">
        <f t="shared" si="119"/>
        <v>0</v>
      </c>
      <c r="T512" s="7" t="s">
        <v>748</v>
      </c>
      <c r="U512" s="66">
        <f>1.71*AF$480</f>
        <v>1.71</v>
      </c>
      <c r="V512" s="31">
        <f t="shared" si="120"/>
        <v>0</v>
      </c>
      <c r="W512" s="35">
        <f>Rate!D$3</f>
        <v>34.5</v>
      </c>
      <c r="X512" s="110">
        <f t="shared" si="122"/>
        <v>0</v>
      </c>
      <c r="Y512" s="110">
        <f t="shared" si="123"/>
        <v>0</v>
      </c>
      <c r="Z512" s="110">
        <f t="shared" si="124"/>
        <v>0</v>
      </c>
      <c r="AA512" s="110">
        <f t="shared" si="117"/>
        <v>0</v>
      </c>
      <c r="AB512" s="110">
        <f t="shared" si="121"/>
        <v>0</v>
      </c>
      <c r="AC512" s="371" t="s">
        <v>163</v>
      </c>
      <c r="AD512" s="371" t="s">
        <v>148</v>
      </c>
      <c r="AE512" s="371" t="s">
        <v>149</v>
      </c>
      <c r="AF512" s="371"/>
    </row>
    <row r="513" spans="1:32" hidden="1" x14ac:dyDescent="0.2">
      <c r="A513" s="14" t="str">
        <f t="shared" ref="A513:A544" si="125">+IF(AB513&lt;&gt;0,"X","")</f>
        <v/>
      </c>
      <c r="B513" s="21" t="s">
        <v>575</v>
      </c>
      <c r="C513" s="15"/>
      <c r="D513" s="242"/>
      <c r="E513" s="280">
        <v>18</v>
      </c>
      <c r="F513" s="85" t="s">
        <v>1</v>
      </c>
      <c r="G513" s="85">
        <v>0.5</v>
      </c>
      <c r="H513" s="15" t="s">
        <v>66</v>
      </c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7">
        <f t="shared" ref="S513:S544" si="126">SUM(I513:R513)</f>
        <v>0</v>
      </c>
      <c r="T513" s="7" t="s">
        <v>748</v>
      </c>
      <c r="U513" s="66">
        <f>1.96*AF$480</f>
        <v>1.96</v>
      </c>
      <c r="V513" s="31">
        <f t="shared" ref="V513:V544" si="127">+S513*U513</f>
        <v>0</v>
      </c>
      <c r="W513" s="35">
        <f>Rate!D$3</f>
        <v>34.5</v>
      </c>
      <c r="X513" s="110">
        <f t="shared" si="122"/>
        <v>0</v>
      </c>
      <c r="Y513" s="110">
        <f t="shared" si="123"/>
        <v>0</v>
      </c>
      <c r="Z513" s="110">
        <f t="shared" si="124"/>
        <v>0</v>
      </c>
      <c r="AA513" s="110">
        <f t="shared" si="117"/>
        <v>0</v>
      </c>
      <c r="AB513" s="110">
        <f t="shared" ref="AB513:AB542" si="128">SUM(X513:AA513)</f>
        <v>0</v>
      </c>
      <c r="AC513" s="371" t="s">
        <v>163</v>
      </c>
      <c r="AD513" s="371" t="s">
        <v>148</v>
      </c>
      <c r="AE513" s="371" t="s">
        <v>149</v>
      </c>
      <c r="AF513" s="371"/>
    </row>
    <row r="514" spans="1:32" hidden="1" x14ac:dyDescent="0.2">
      <c r="A514" s="14" t="str">
        <f t="shared" si="125"/>
        <v/>
      </c>
      <c r="B514" s="21" t="s">
        <v>575</v>
      </c>
      <c r="C514" s="15"/>
      <c r="D514" s="242"/>
      <c r="E514" s="280">
        <v>20</v>
      </c>
      <c r="F514" s="85" t="s">
        <v>1</v>
      </c>
      <c r="G514" s="85">
        <v>0.5</v>
      </c>
      <c r="H514" s="15" t="s">
        <v>66</v>
      </c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7">
        <f t="shared" si="126"/>
        <v>0</v>
      </c>
      <c r="T514" s="7" t="s">
        <v>748</v>
      </c>
      <c r="U514" s="66">
        <f>2.22*AF$480</f>
        <v>2.2200000000000002</v>
      </c>
      <c r="V514" s="31">
        <f t="shared" si="127"/>
        <v>0</v>
      </c>
      <c r="W514" s="35">
        <f>Rate!D$3</f>
        <v>34.5</v>
      </c>
      <c r="X514" s="110">
        <f t="shared" si="122"/>
        <v>0</v>
      </c>
      <c r="Y514" s="110">
        <f t="shared" si="123"/>
        <v>0</v>
      </c>
      <c r="Z514" s="110">
        <f t="shared" si="124"/>
        <v>0</v>
      </c>
      <c r="AA514" s="110">
        <f t="shared" si="117"/>
        <v>0</v>
      </c>
      <c r="AB514" s="110">
        <f t="shared" si="128"/>
        <v>0</v>
      </c>
      <c r="AC514" s="371" t="s">
        <v>163</v>
      </c>
      <c r="AD514" s="371" t="s">
        <v>148</v>
      </c>
      <c r="AE514" s="371" t="s">
        <v>149</v>
      </c>
      <c r="AF514" s="371"/>
    </row>
    <row r="515" spans="1:32" hidden="1" x14ac:dyDescent="0.2">
      <c r="A515" s="14" t="str">
        <f t="shared" si="125"/>
        <v/>
      </c>
      <c r="B515" s="21" t="s">
        <v>575</v>
      </c>
      <c r="C515" s="15"/>
      <c r="D515" s="242"/>
      <c r="E515" s="280">
        <v>24</v>
      </c>
      <c r="F515" s="85" t="s">
        <v>1</v>
      </c>
      <c r="G515" s="85">
        <v>0.5</v>
      </c>
      <c r="H515" s="15" t="s">
        <v>66</v>
      </c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7">
        <f t="shared" si="126"/>
        <v>0</v>
      </c>
      <c r="T515" s="7" t="s">
        <v>748</v>
      </c>
      <c r="U515" s="66">
        <f>2.51*AF$480</f>
        <v>2.5099999999999998</v>
      </c>
      <c r="V515" s="31">
        <f t="shared" si="127"/>
        <v>0</v>
      </c>
      <c r="W515" s="35">
        <f>Rate!D$3</f>
        <v>34.5</v>
      </c>
      <c r="X515" s="110">
        <f t="shared" si="122"/>
        <v>0</v>
      </c>
      <c r="Y515" s="110">
        <f t="shared" si="123"/>
        <v>0</v>
      </c>
      <c r="Z515" s="110">
        <f t="shared" si="124"/>
        <v>0</v>
      </c>
      <c r="AA515" s="110">
        <f t="shared" si="117"/>
        <v>0</v>
      </c>
      <c r="AB515" s="110">
        <f t="shared" si="128"/>
        <v>0</v>
      </c>
      <c r="AC515" s="371" t="s">
        <v>163</v>
      </c>
      <c r="AD515" s="371" t="s">
        <v>148</v>
      </c>
      <c r="AE515" s="371" t="s">
        <v>149</v>
      </c>
      <c r="AF515" s="371"/>
    </row>
    <row r="516" spans="1:32" hidden="1" x14ac:dyDescent="0.2">
      <c r="A516" s="14" t="str">
        <f t="shared" si="125"/>
        <v/>
      </c>
      <c r="B516" s="21" t="s">
        <v>575</v>
      </c>
      <c r="C516" s="15"/>
      <c r="D516" s="242"/>
      <c r="E516" s="280">
        <v>30</v>
      </c>
      <c r="F516" s="85" t="s">
        <v>1</v>
      </c>
      <c r="G516" s="85">
        <v>0.5</v>
      </c>
      <c r="H516" s="15" t="s">
        <v>66</v>
      </c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7">
        <f t="shared" si="126"/>
        <v>0</v>
      </c>
      <c r="T516" s="7" t="s">
        <v>748</v>
      </c>
      <c r="U516" s="66">
        <f>2.18*AF$480</f>
        <v>2.1800000000000002</v>
      </c>
      <c r="V516" s="31">
        <f t="shared" si="127"/>
        <v>0</v>
      </c>
      <c r="W516" s="35">
        <f>Rate!D$3</f>
        <v>34.5</v>
      </c>
      <c r="X516" s="110">
        <f t="shared" si="122"/>
        <v>0</v>
      </c>
      <c r="Y516" s="110">
        <f t="shared" si="123"/>
        <v>0</v>
      </c>
      <c r="Z516" s="110">
        <f t="shared" si="124"/>
        <v>0</v>
      </c>
      <c r="AA516" s="110">
        <f t="shared" si="117"/>
        <v>0</v>
      </c>
      <c r="AB516" s="110">
        <f t="shared" si="128"/>
        <v>0</v>
      </c>
      <c r="AC516" s="371" t="s">
        <v>163</v>
      </c>
      <c r="AD516" s="371" t="s">
        <v>148</v>
      </c>
      <c r="AE516" s="371" t="s">
        <v>149</v>
      </c>
      <c r="AF516" s="371"/>
    </row>
    <row r="517" spans="1:32" hidden="1" x14ac:dyDescent="0.2">
      <c r="A517" s="14" t="str">
        <f t="shared" si="125"/>
        <v/>
      </c>
      <c r="B517" s="21" t="s">
        <v>575</v>
      </c>
      <c r="C517" s="15"/>
      <c r="D517" s="242"/>
      <c r="E517" s="280">
        <v>36</v>
      </c>
      <c r="F517" s="85" t="s">
        <v>1</v>
      </c>
      <c r="G517" s="85">
        <v>0.5</v>
      </c>
      <c r="H517" s="15" t="s">
        <v>66</v>
      </c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7">
        <f t="shared" si="126"/>
        <v>0</v>
      </c>
      <c r="T517" s="7" t="s">
        <v>748</v>
      </c>
      <c r="U517" s="66">
        <f>2.59*AF$480</f>
        <v>2.59</v>
      </c>
      <c r="V517" s="31">
        <f t="shared" si="127"/>
        <v>0</v>
      </c>
      <c r="W517" s="35">
        <f>Rate!D$3</f>
        <v>34.5</v>
      </c>
      <c r="X517" s="110">
        <f t="shared" si="122"/>
        <v>0</v>
      </c>
      <c r="Y517" s="110">
        <f t="shared" si="123"/>
        <v>0</v>
      </c>
      <c r="Z517" s="110">
        <f t="shared" si="124"/>
        <v>0</v>
      </c>
      <c r="AA517" s="110">
        <f t="shared" si="117"/>
        <v>0</v>
      </c>
      <c r="AB517" s="110">
        <f t="shared" si="128"/>
        <v>0</v>
      </c>
      <c r="AC517" s="371" t="s">
        <v>163</v>
      </c>
      <c r="AD517" s="371" t="s">
        <v>148</v>
      </c>
      <c r="AE517" s="371" t="s">
        <v>149</v>
      </c>
      <c r="AF517" s="371"/>
    </row>
    <row r="518" spans="1:32" hidden="1" x14ac:dyDescent="0.2">
      <c r="A518" s="14" t="str">
        <f t="shared" si="125"/>
        <v/>
      </c>
      <c r="B518" s="21" t="s">
        <v>575</v>
      </c>
      <c r="C518" s="15"/>
      <c r="D518" s="242"/>
      <c r="E518" s="280">
        <v>48</v>
      </c>
      <c r="F518" s="85" t="s">
        <v>1</v>
      </c>
      <c r="G518" s="85">
        <v>0.5</v>
      </c>
      <c r="H518" s="15" t="s">
        <v>66</v>
      </c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7">
        <f t="shared" si="126"/>
        <v>0</v>
      </c>
      <c r="T518" s="7" t="s">
        <v>748</v>
      </c>
      <c r="U518" s="66">
        <f>3.35*AF$480</f>
        <v>3.35</v>
      </c>
      <c r="V518" s="31">
        <f t="shared" si="127"/>
        <v>0</v>
      </c>
      <c r="W518" s="35">
        <f>Rate!D$3</f>
        <v>34.5</v>
      </c>
      <c r="X518" s="110">
        <f t="shared" si="122"/>
        <v>0</v>
      </c>
      <c r="Y518" s="110">
        <f t="shared" si="123"/>
        <v>0</v>
      </c>
      <c r="Z518" s="110">
        <f t="shared" si="124"/>
        <v>0</v>
      </c>
      <c r="AA518" s="110">
        <f t="shared" si="117"/>
        <v>0</v>
      </c>
      <c r="AB518" s="110">
        <f t="shared" si="128"/>
        <v>0</v>
      </c>
      <c r="AC518" s="371" t="s">
        <v>163</v>
      </c>
      <c r="AD518" s="371" t="s">
        <v>148</v>
      </c>
      <c r="AE518" s="371" t="s">
        <v>149</v>
      </c>
      <c r="AF518" s="371"/>
    </row>
    <row r="519" spans="1:32" hidden="1" x14ac:dyDescent="0.2">
      <c r="A519" s="14" t="str">
        <f t="shared" si="125"/>
        <v/>
      </c>
      <c r="B519" s="21" t="s">
        <v>575</v>
      </c>
      <c r="C519" s="15"/>
      <c r="D519" s="265"/>
      <c r="E519" s="282">
        <v>12</v>
      </c>
      <c r="F519" s="286">
        <v>40</v>
      </c>
      <c r="G519" s="293">
        <v>0.40600000000000003</v>
      </c>
      <c r="H519" s="15" t="s">
        <v>66</v>
      </c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7">
        <f t="shared" ref="S519:S531" si="129">SUM(I519:R519)</f>
        <v>0</v>
      </c>
      <c r="T519" s="7" t="s">
        <v>748</v>
      </c>
      <c r="U519" s="66">
        <f>1*AF$480</f>
        <v>1</v>
      </c>
      <c r="V519" s="31">
        <f t="shared" si="127"/>
        <v>0</v>
      </c>
      <c r="W519" s="35">
        <f>Rate!D$3</f>
        <v>34.5</v>
      </c>
      <c r="X519" s="110">
        <f t="shared" si="122"/>
        <v>0</v>
      </c>
      <c r="Y519" s="110">
        <f t="shared" si="123"/>
        <v>0</v>
      </c>
      <c r="Z519" s="110">
        <f t="shared" si="124"/>
        <v>0</v>
      </c>
      <c r="AA519" s="110">
        <f t="shared" si="117"/>
        <v>0</v>
      </c>
      <c r="AB519" s="110">
        <f t="shared" ref="AB519:AB531" si="130">SUM(X519:AA519)</f>
        <v>0</v>
      </c>
      <c r="AC519" s="371" t="s">
        <v>163</v>
      </c>
      <c r="AD519" s="371" t="s">
        <v>148</v>
      </c>
      <c r="AE519" s="371" t="s">
        <v>149</v>
      </c>
      <c r="AF519" s="371"/>
    </row>
    <row r="520" spans="1:32" hidden="1" x14ac:dyDescent="0.2">
      <c r="A520" s="14" t="str">
        <f t="shared" si="125"/>
        <v/>
      </c>
      <c r="B520" s="21" t="s">
        <v>575</v>
      </c>
      <c r="C520" s="15"/>
      <c r="D520" s="265"/>
      <c r="E520" s="283">
        <v>14</v>
      </c>
      <c r="F520" s="286">
        <v>40</v>
      </c>
      <c r="G520" s="293">
        <v>0.437</v>
      </c>
      <c r="H520" s="15" t="s">
        <v>66</v>
      </c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7">
        <f t="shared" si="129"/>
        <v>0</v>
      </c>
      <c r="T520" s="7" t="s">
        <v>748</v>
      </c>
      <c r="U520" s="66">
        <f>1.28*AF$480</f>
        <v>1.28</v>
      </c>
      <c r="V520" s="31">
        <f t="shared" si="127"/>
        <v>0</v>
      </c>
      <c r="W520" s="35">
        <f>Rate!D$3</f>
        <v>34.5</v>
      </c>
      <c r="X520" s="110">
        <f t="shared" si="122"/>
        <v>0</v>
      </c>
      <c r="Y520" s="110">
        <f t="shared" si="123"/>
        <v>0</v>
      </c>
      <c r="Z520" s="110">
        <f t="shared" si="124"/>
        <v>0</v>
      </c>
      <c r="AA520" s="110">
        <f t="shared" si="117"/>
        <v>0</v>
      </c>
      <c r="AB520" s="110">
        <f t="shared" si="130"/>
        <v>0</v>
      </c>
      <c r="AC520" s="371" t="s">
        <v>163</v>
      </c>
      <c r="AD520" s="371" t="s">
        <v>148</v>
      </c>
      <c r="AE520" s="371" t="s">
        <v>149</v>
      </c>
      <c r="AF520" s="371"/>
    </row>
    <row r="521" spans="1:32" hidden="1" x14ac:dyDescent="0.2">
      <c r="A521" s="14" t="str">
        <f t="shared" si="125"/>
        <v/>
      </c>
      <c r="B521" s="21" t="s">
        <v>575</v>
      </c>
      <c r="C521" s="15"/>
      <c r="D521" s="265"/>
      <c r="E521" s="283">
        <v>16</v>
      </c>
      <c r="F521" s="286">
        <v>40</v>
      </c>
      <c r="G521" s="293">
        <v>0.5</v>
      </c>
      <c r="H521" s="15" t="s">
        <v>66</v>
      </c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7">
        <f t="shared" si="129"/>
        <v>0</v>
      </c>
      <c r="T521" s="7" t="s">
        <v>748</v>
      </c>
      <c r="U521" s="66">
        <f>1.71*AF$480</f>
        <v>1.71</v>
      </c>
      <c r="V521" s="31">
        <f t="shared" si="127"/>
        <v>0</v>
      </c>
      <c r="W521" s="35">
        <f>Rate!D$3</f>
        <v>34.5</v>
      </c>
      <c r="X521" s="110">
        <f t="shared" si="122"/>
        <v>0</v>
      </c>
      <c r="Y521" s="110">
        <f t="shared" si="123"/>
        <v>0</v>
      </c>
      <c r="Z521" s="110">
        <f t="shared" si="124"/>
        <v>0</v>
      </c>
      <c r="AA521" s="110">
        <f t="shared" si="117"/>
        <v>0</v>
      </c>
      <c r="AB521" s="110">
        <f t="shared" si="130"/>
        <v>0</v>
      </c>
      <c r="AC521" s="371" t="s">
        <v>163</v>
      </c>
      <c r="AD521" s="371" t="s">
        <v>148</v>
      </c>
      <c r="AE521" s="371" t="s">
        <v>149</v>
      </c>
      <c r="AF521" s="371"/>
    </row>
    <row r="522" spans="1:32" hidden="1" x14ac:dyDescent="0.2">
      <c r="A522" s="14" t="str">
        <f t="shared" si="125"/>
        <v/>
      </c>
      <c r="B522" s="21" t="s">
        <v>575</v>
      </c>
      <c r="C522" s="15"/>
      <c r="D522" s="265"/>
      <c r="E522" s="283">
        <v>18</v>
      </c>
      <c r="F522" s="286">
        <v>40</v>
      </c>
      <c r="G522" s="293">
        <v>0.56200000000000006</v>
      </c>
      <c r="H522" s="15" t="s">
        <v>66</v>
      </c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7">
        <f t="shared" si="129"/>
        <v>0</v>
      </c>
      <c r="T522" s="7" t="s">
        <v>748</v>
      </c>
      <c r="U522" s="66">
        <f>2.21*AF$480</f>
        <v>2.21</v>
      </c>
      <c r="V522" s="31">
        <f t="shared" si="127"/>
        <v>0</v>
      </c>
      <c r="W522" s="35">
        <f>Rate!D$3</f>
        <v>34.5</v>
      </c>
      <c r="X522" s="110">
        <f t="shared" si="122"/>
        <v>0</v>
      </c>
      <c r="Y522" s="110">
        <f t="shared" si="123"/>
        <v>0</v>
      </c>
      <c r="Z522" s="110">
        <f t="shared" si="124"/>
        <v>0</v>
      </c>
      <c r="AA522" s="110">
        <f t="shared" si="117"/>
        <v>0</v>
      </c>
      <c r="AB522" s="110">
        <f t="shared" si="130"/>
        <v>0</v>
      </c>
      <c r="AC522" s="371" t="s">
        <v>163</v>
      </c>
      <c r="AD522" s="371" t="s">
        <v>148</v>
      </c>
      <c r="AE522" s="371" t="s">
        <v>149</v>
      </c>
      <c r="AF522" s="371"/>
    </row>
    <row r="523" spans="1:32" hidden="1" x14ac:dyDescent="0.2">
      <c r="A523" s="14" t="str">
        <f t="shared" si="125"/>
        <v/>
      </c>
      <c r="B523" s="21" t="s">
        <v>575</v>
      </c>
      <c r="C523" s="15"/>
      <c r="D523" s="265"/>
      <c r="E523" s="283">
        <v>20</v>
      </c>
      <c r="F523" s="286">
        <v>40</v>
      </c>
      <c r="G523" s="293">
        <v>0.59299999999999997</v>
      </c>
      <c r="H523" s="15" t="s">
        <v>66</v>
      </c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7">
        <f t="shared" si="129"/>
        <v>0</v>
      </c>
      <c r="T523" s="7" t="s">
        <v>748</v>
      </c>
      <c r="U523" s="66">
        <f>2.64*AF$480</f>
        <v>2.64</v>
      </c>
      <c r="V523" s="31">
        <f t="shared" si="127"/>
        <v>0</v>
      </c>
      <c r="W523" s="35">
        <f>Rate!D$3</f>
        <v>34.5</v>
      </c>
      <c r="X523" s="110">
        <f t="shared" si="122"/>
        <v>0</v>
      </c>
      <c r="Y523" s="110">
        <f t="shared" si="123"/>
        <v>0</v>
      </c>
      <c r="Z523" s="110">
        <f t="shared" si="124"/>
        <v>0</v>
      </c>
      <c r="AA523" s="110">
        <f t="shared" si="117"/>
        <v>0</v>
      </c>
      <c r="AB523" s="110">
        <f t="shared" si="130"/>
        <v>0</v>
      </c>
      <c r="AC523" s="371" t="s">
        <v>163</v>
      </c>
      <c r="AD523" s="371" t="s">
        <v>148</v>
      </c>
      <c r="AE523" s="371" t="s">
        <v>149</v>
      </c>
      <c r="AF523" s="371"/>
    </row>
    <row r="524" spans="1:32" hidden="1" x14ac:dyDescent="0.2">
      <c r="A524" s="14" t="str">
        <f t="shared" si="125"/>
        <v/>
      </c>
      <c r="B524" s="21" t="s">
        <v>575</v>
      </c>
      <c r="C524" s="15"/>
      <c r="D524" s="265"/>
      <c r="E524" s="283">
        <v>24</v>
      </c>
      <c r="F524" s="286">
        <v>40</v>
      </c>
      <c r="G524" s="293">
        <v>0.68700000000000006</v>
      </c>
      <c r="H524" s="15" t="s">
        <v>66</v>
      </c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7">
        <f t="shared" si="129"/>
        <v>0</v>
      </c>
      <c r="T524" s="7" t="s">
        <v>748</v>
      </c>
      <c r="U524" s="66">
        <f>3.45*AF$480</f>
        <v>3.45</v>
      </c>
      <c r="V524" s="31">
        <f t="shared" si="127"/>
        <v>0</v>
      </c>
      <c r="W524" s="35">
        <f>Rate!D$3</f>
        <v>34.5</v>
      </c>
      <c r="X524" s="110">
        <f t="shared" si="122"/>
        <v>0</v>
      </c>
      <c r="Y524" s="110">
        <f t="shared" si="123"/>
        <v>0</v>
      </c>
      <c r="Z524" s="110">
        <f t="shared" si="124"/>
        <v>0</v>
      </c>
      <c r="AA524" s="110">
        <f t="shared" si="117"/>
        <v>0</v>
      </c>
      <c r="AB524" s="110">
        <f t="shared" si="130"/>
        <v>0</v>
      </c>
      <c r="AC524" s="371" t="s">
        <v>163</v>
      </c>
      <c r="AD524" s="371" t="s">
        <v>148</v>
      </c>
      <c r="AE524" s="371" t="s">
        <v>149</v>
      </c>
      <c r="AF524" s="371"/>
    </row>
    <row r="525" spans="1:32" hidden="1" x14ac:dyDescent="0.2">
      <c r="A525" s="14" t="str">
        <f t="shared" si="125"/>
        <v/>
      </c>
      <c r="B525" s="21" t="s">
        <v>575</v>
      </c>
      <c r="C525" s="15"/>
      <c r="D525" s="265"/>
      <c r="E525" s="283">
        <v>10</v>
      </c>
      <c r="F525" s="286">
        <v>80</v>
      </c>
      <c r="G525" s="293">
        <v>0.59299999999999997</v>
      </c>
      <c r="H525" s="15" t="s">
        <v>66</v>
      </c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7">
        <f t="shared" si="129"/>
        <v>0</v>
      </c>
      <c r="T525" s="7" t="s">
        <v>748</v>
      </c>
      <c r="U525" s="66">
        <f>1.19*AF$480</f>
        <v>1.19</v>
      </c>
      <c r="V525" s="31">
        <f t="shared" si="127"/>
        <v>0</v>
      </c>
      <c r="W525" s="35">
        <f>Rate!D$3</f>
        <v>34.5</v>
      </c>
      <c r="X525" s="110">
        <f t="shared" si="122"/>
        <v>0</v>
      </c>
      <c r="Y525" s="110">
        <f t="shared" si="123"/>
        <v>0</v>
      </c>
      <c r="Z525" s="110">
        <f t="shared" si="124"/>
        <v>0</v>
      </c>
      <c r="AA525" s="110">
        <f t="shared" si="117"/>
        <v>0</v>
      </c>
      <c r="AB525" s="110">
        <f t="shared" si="130"/>
        <v>0</v>
      </c>
      <c r="AC525" s="371" t="s">
        <v>163</v>
      </c>
      <c r="AD525" s="371" t="s">
        <v>148</v>
      </c>
      <c r="AE525" s="371" t="s">
        <v>149</v>
      </c>
      <c r="AF525" s="371"/>
    </row>
    <row r="526" spans="1:32" hidden="1" x14ac:dyDescent="0.2">
      <c r="A526" s="14" t="str">
        <f t="shared" si="125"/>
        <v/>
      </c>
      <c r="B526" s="21" t="s">
        <v>575</v>
      </c>
      <c r="C526" s="15"/>
      <c r="D526" s="265"/>
      <c r="E526" s="283">
        <v>12</v>
      </c>
      <c r="F526" s="286">
        <v>80</v>
      </c>
      <c r="G526" s="293">
        <v>0.68700000000000006</v>
      </c>
      <c r="H526" s="15" t="s">
        <v>66</v>
      </c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7">
        <f t="shared" si="129"/>
        <v>0</v>
      </c>
      <c r="T526" s="7" t="s">
        <v>748</v>
      </c>
      <c r="U526" s="66">
        <f>1.7*AF$480</f>
        <v>1.7</v>
      </c>
      <c r="V526" s="31">
        <f t="shared" si="127"/>
        <v>0</v>
      </c>
      <c r="W526" s="35">
        <f>Rate!D$3</f>
        <v>34.5</v>
      </c>
      <c r="X526" s="110">
        <f t="shared" si="122"/>
        <v>0</v>
      </c>
      <c r="Y526" s="110">
        <f t="shared" si="123"/>
        <v>0</v>
      </c>
      <c r="Z526" s="110">
        <f t="shared" si="124"/>
        <v>0</v>
      </c>
      <c r="AA526" s="110">
        <f t="shared" si="117"/>
        <v>0</v>
      </c>
      <c r="AB526" s="110">
        <f t="shared" si="130"/>
        <v>0</v>
      </c>
      <c r="AC526" s="371" t="s">
        <v>163</v>
      </c>
      <c r="AD526" s="371" t="s">
        <v>148</v>
      </c>
      <c r="AE526" s="371" t="s">
        <v>149</v>
      </c>
      <c r="AF526" s="371"/>
    </row>
    <row r="527" spans="1:32" hidden="1" x14ac:dyDescent="0.2">
      <c r="A527" s="14" t="str">
        <f t="shared" si="125"/>
        <v/>
      </c>
      <c r="B527" s="21" t="s">
        <v>575</v>
      </c>
      <c r="C527" s="15"/>
      <c r="D527" s="265"/>
      <c r="E527" s="283">
        <v>14</v>
      </c>
      <c r="F527" s="286">
        <v>80</v>
      </c>
      <c r="G527" s="293">
        <v>0.75</v>
      </c>
      <c r="H527" s="15" t="s">
        <v>66</v>
      </c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7">
        <f t="shared" si="129"/>
        <v>0</v>
      </c>
      <c r="T527" s="7" t="s">
        <v>748</v>
      </c>
      <c r="U527" s="66">
        <f>2.19*AF$480</f>
        <v>2.19</v>
      </c>
      <c r="V527" s="31">
        <f t="shared" si="127"/>
        <v>0</v>
      </c>
      <c r="W527" s="35">
        <f>Rate!D$3</f>
        <v>34.5</v>
      </c>
      <c r="X527" s="110">
        <f t="shared" si="122"/>
        <v>0</v>
      </c>
      <c r="Y527" s="110">
        <f t="shared" si="123"/>
        <v>0</v>
      </c>
      <c r="Z527" s="110">
        <f t="shared" si="124"/>
        <v>0</v>
      </c>
      <c r="AA527" s="110">
        <f t="shared" si="117"/>
        <v>0</v>
      </c>
      <c r="AB527" s="110">
        <f t="shared" si="130"/>
        <v>0</v>
      </c>
      <c r="AC527" s="371" t="s">
        <v>163</v>
      </c>
      <c r="AD527" s="371" t="s">
        <v>148</v>
      </c>
      <c r="AE527" s="371" t="s">
        <v>149</v>
      </c>
      <c r="AF527" s="371"/>
    </row>
    <row r="528" spans="1:32" hidden="1" x14ac:dyDescent="0.2">
      <c r="A528" s="14" t="str">
        <f t="shared" si="125"/>
        <v/>
      </c>
      <c r="B528" s="21" t="s">
        <v>575</v>
      </c>
      <c r="C528" s="15"/>
      <c r="D528" s="265"/>
      <c r="E528" s="283">
        <v>16</v>
      </c>
      <c r="F528" s="286">
        <v>80</v>
      </c>
      <c r="G528" s="293">
        <v>0.84299999999999997</v>
      </c>
      <c r="H528" s="15" t="s">
        <v>66</v>
      </c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7">
        <f t="shared" si="129"/>
        <v>0</v>
      </c>
      <c r="T528" s="7" t="s">
        <v>748</v>
      </c>
      <c r="U528" s="66">
        <f>2.89*AF$480</f>
        <v>2.89</v>
      </c>
      <c r="V528" s="31">
        <f t="shared" si="127"/>
        <v>0</v>
      </c>
      <c r="W528" s="35">
        <f>Rate!D$3</f>
        <v>34.5</v>
      </c>
      <c r="X528" s="110">
        <f t="shared" si="122"/>
        <v>0</v>
      </c>
      <c r="Y528" s="110">
        <f t="shared" si="123"/>
        <v>0</v>
      </c>
      <c r="Z528" s="110">
        <f t="shared" si="124"/>
        <v>0</v>
      </c>
      <c r="AA528" s="110">
        <f t="shared" si="117"/>
        <v>0</v>
      </c>
      <c r="AB528" s="110">
        <f t="shared" si="130"/>
        <v>0</v>
      </c>
      <c r="AC528" s="371" t="s">
        <v>163</v>
      </c>
      <c r="AD528" s="371" t="s">
        <v>148</v>
      </c>
      <c r="AE528" s="371" t="s">
        <v>149</v>
      </c>
      <c r="AF528" s="371"/>
    </row>
    <row r="529" spans="1:32" hidden="1" x14ac:dyDescent="0.2">
      <c r="A529" s="14" t="str">
        <f t="shared" si="125"/>
        <v/>
      </c>
      <c r="B529" s="21" t="s">
        <v>575</v>
      </c>
      <c r="C529" s="15"/>
      <c r="D529" s="265"/>
      <c r="E529" s="283">
        <v>18</v>
      </c>
      <c r="F529" s="286">
        <v>80</v>
      </c>
      <c r="G529" s="293">
        <v>0.93700000000000006</v>
      </c>
      <c r="H529" s="15" t="s">
        <v>66</v>
      </c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7">
        <f t="shared" si="129"/>
        <v>0</v>
      </c>
      <c r="T529" s="7" t="s">
        <v>748</v>
      </c>
      <c r="U529" s="66">
        <f>3.68*AF$480</f>
        <v>3.68</v>
      </c>
      <c r="V529" s="31">
        <f t="shared" si="127"/>
        <v>0</v>
      </c>
      <c r="W529" s="35">
        <f>Rate!D$3</f>
        <v>34.5</v>
      </c>
      <c r="X529" s="110">
        <f t="shared" si="122"/>
        <v>0</v>
      </c>
      <c r="Y529" s="110">
        <f t="shared" si="123"/>
        <v>0</v>
      </c>
      <c r="Z529" s="110">
        <f t="shared" si="124"/>
        <v>0</v>
      </c>
      <c r="AA529" s="110">
        <f t="shared" si="117"/>
        <v>0</v>
      </c>
      <c r="AB529" s="110">
        <f t="shared" si="130"/>
        <v>0</v>
      </c>
      <c r="AC529" s="371" t="s">
        <v>163</v>
      </c>
      <c r="AD529" s="371" t="s">
        <v>148</v>
      </c>
      <c r="AE529" s="371" t="s">
        <v>149</v>
      </c>
      <c r="AF529" s="371"/>
    </row>
    <row r="530" spans="1:32" hidden="1" x14ac:dyDescent="0.2">
      <c r="A530" s="14" t="str">
        <f t="shared" si="125"/>
        <v/>
      </c>
      <c r="B530" s="21" t="s">
        <v>575</v>
      </c>
      <c r="C530" s="15"/>
      <c r="D530" s="265"/>
      <c r="E530" s="283">
        <v>20</v>
      </c>
      <c r="F530" s="286">
        <v>80</v>
      </c>
      <c r="G530" s="293">
        <v>1.0309999999999999</v>
      </c>
      <c r="H530" s="15" t="s">
        <v>66</v>
      </c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7">
        <f t="shared" si="129"/>
        <v>0</v>
      </c>
      <c r="T530" s="7" t="s">
        <v>748</v>
      </c>
      <c r="U530" s="66">
        <f>4.58*AF$480</f>
        <v>4.58</v>
      </c>
      <c r="V530" s="31">
        <f t="shared" si="127"/>
        <v>0</v>
      </c>
      <c r="W530" s="35">
        <f>Rate!D$3</f>
        <v>34.5</v>
      </c>
      <c r="X530" s="110">
        <f t="shared" si="122"/>
        <v>0</v>
      </c>
      <c r="Y530" s="110">
        <f t="shared" si="123"/>
        <v>0</v>
      </c>
      <c r="Z530" s="110">
        <f t="shared" si="124"/>
        <v>0</v>
      </c>
      <c r="AA530" s="110">
        <f t="shared" si="117"/>
        <v>0</v>
      </c>
      <c r="AB530" s="110">
        <f t="shared" si="130"/>
        <v>0</v>
      </c>
      <c r="AC530" s="371" t="s">
        <v>163</v>
      </c>
      <c r="AD530" s="371" t="s">
        <v>148</v>
      </c>
      <c r="AE530" s="371" t="s">
        <v>149</v>
      </c>
      <c r="AF530" s="371"/>
    </row>
    <row r="531" spans="1:32" hidden="1" x14ac:dyDescent="0.2">
      <c r="A531" s="14" t="str">
        <f t="shared" si="125"/>
        <v/>
      </c>
      <c r="B531" s="21" t="s">
        <v>575</v>
      </c>
      <c r="C531" s="15"/>
      <c r="D531" s="265"/>
      <c r="E531" s="283">
        <v>24</v>
      </c>
      <c r="F531" s="286">
        <v>80</v>
      </c>
      <c r="G531" s="293">
        <v>1.218</v>
      </c>
      <c r="H531" s="15" t="s">
        <v>66</v>
      </c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7">
        <f t="shared" si="129"/>
        <v>0</v>
      </c>
      <c r="T531" s="7" t="s">
        <v>748</v>
      </c>
      <c r="U531" s="66">
        <f>6.12*AF$480</f>
        <v>6.12</v>
      </c>
      <c r="V531" s="31">
        <f t="shared" si="127"/>
        <v>0</v>
      </c>
      <c r="W531" s="35">
        <f>Rate!D$3</f>
        <v>34.5</v>
      </c>
      <c r="X531" s="110">
        <f t="shared" si="122"/>
        <v>0</v>
      </c>
      <c r="Y531" s="110">
        <f t="shared" si="123"/>
        <v>0</v>
      </c>
      <c r="Z531" s="110">
        <f t="shared" si="124"/>
        <v>0</v>
      </c>
      <c r="AA531" s="110">
        <f t="shared" si="117"/>
        <v>0</v>
      </c>
      <c r="AB531" s="110">
        <f t="shared" si="130"/>
        <v>0</v>
      </c>
      <c r="AC531" s="371" t="s">
        <v>163</v>
      </c>
      <c r="AD531" s="371" t="s">
        <v>148</v>
      </c>
      <c r="AE531" s="371" t="s">
        <v>149</v>
      </c>
      <c r="AF531" s="371"/>
    </row>
    <row r="532" spans="1:32" hidden="1" x14ac:dyDescent="0.2">
      <c r="A532" s="14" t="str">
        <f t="shared" si="125"/>
        <v/>
      </c>
      <c r="B532" s="21" t="s">
        <v>575</v>
      </c>
      <c r="C532" s="15"/>
      <c r="D532" s="242"/>
      <c r="E532" s="280">
        <v>0.5</v>
      </c>
      <c r="F532" s="85">
        <v>160</v>
      </c>
      <c r="G532" s="85">
        <v>0.187</v>
      </c>
      <c r="H532" s="15" t="s">
        <v>66</v>
      </c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7">
        <f t="shared" si="126"/>
        <v>0</v>
      </c>
      <c r="T532" s="7" t="s">
        <v>748</v>
      </c>
      <c r="U532" s="66">
        <f>0.34*AF$480</f>
        <v>0.34</v>
      </c>
      <c r="V532" s="31">
        <f t="shared" si="127"/>
        <v>0</v>
      </c>
      <c r="W532" s="35">
        <f>Rate!D$3</f>
        <v>34.5</v>
      </c>
      <c r="X532" s="110">
        <f t="shared" si="122"/>
        <v>0</v>
      </c>
      <c r="Y532" s="110">
        <f t="shared" si="123"/>
        <v>0</v>
      </c>
      <c r="Z532" s="110">
        <f t="shared" si="124"/>
        <v>0</v>
      </c>
      <c r="AA532" s="110">
        <f t="shared" si="117"/>
        <v>0</v>
      </c>
      <c r="AB532" s="110">
        <f t="shared" si="128"/>
        <v>0</v>
      </c>
      <c r="AC532" s="371" t="s">
        <v>163</v>
      </c>
      <c r="AD532" s="371" t="s">
        <v>148</v>
      </c>
      <c r="AE532" s="371" t="s">
        <v>149</v>
      </c>
      <c r="AF532" s="371"/>
    </row>
    <row r="533" spans="1:32" hidden="1" x14ac:dyDescent="0.2">
      <c r="A533" s="14" t="str">
        <f t="shared" si="125"/>
        <v/>
      </c>
      <c r="B533" s="21" t="s">
        <v>575</v>
      </c>
      <c r="C533" s="15"/>
      <c r="D533" s="242"/>
      <c r="E533" s="280">
        <v>0.75</v>
      </c>
      <c r="F533" s="85">
        <v>160</v>
      </c>
      <c r="G533" s="85">
        <v>0.218</v>
      </c>
      <c r="H533" s="15" t="s">
        <v>66</v>
      </c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7">
        <f t="shared" si="126"/>
        <v>0</v>
      </c>
      <c r="T533" s="7" t="s">
        <v>748</v>
      </c>
      <c r="U533" s="66">
        <f>0.35*AF$480</f>
        <v>0.35</v>
      </c>
      <c r="V533" s="31">
        <f t="shared" si="127"/>
        <v>0</v>
      </c>
      <c r="W533" s="35">
        <f>Rate!D$3</f>
        <v>34.5</v>
      </c>
      <c r="X533" s="110">
        <f t="shared" si="122"/>
        <v>0</v>
      </c>
      <c r="Y533" s="110">
        <f t="shared" si="123"/>
        <v>0</v>
      </c>
      <c r="Z533" s="110">
        <f t="shared" si="124"/>
        <v>0</v>
      </c>
      <c r="AA533" s="110">
        <f t="shared" si="117"/>
        <v>0</v>
      </c>
      <c r="AB533" s="110">
        <f t="shared" si="128"/>
        <v>0</v>
      </c>
      <c r="AC533" s="371" t="s">
        <v>163</v>
      </c>
      <c r="AD533" s="371" t="s">
        <v>148</v>
      </c>
      <c r="AE533" s="371" t="s">
        <v>149</v>
      </c>
      <c r="AF533" s="371"/>
    </row>
    <row r="534" spans="1:32" hidden="1" x14ac:dyDescent="0.2">
      <c r="A534" s="14" t="str">
        <f t="shared" si="125"/>
        <v/>
      </c>
      <c r="B534" s="21" t="s">
        <v>575</v>
      </c>
      <c r="C534" s="15"/>
      <c r="D534" s="242"/>
      <c r="E534" s="280">
        <v>1</v>
      </c>
      <c r="F534" s="85">
        <v>160</v>
      </c>
      <c r="G534" s="85">
        <v>0.25</v>
      </c>
      <c r="H534" s="15" t="s">
        <v>66</v>
      </c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7">
        <f>SUM(I534:R534)</f>
        <v>0</v>
      </c>
      <c r="T534" s="7" t="s">
        <v>748</v>
      </c>
      <c r="U534" s="66">
        <f>0.39*AF$480</f>
        <v>0.39</v>
      </c>
      <c r="V534" s="31">
        <f t="shared" si="127"/>
        <v>0</v>
      </c>
      <c r="W534" s="35">
        <f>Rate!D$3</f>
        <v>34.5</v>
      </c>
      <c r="X534" s="110">
        <f t="shared" si="122"/>
        <v>0</v>
      </c>
      <c r="Y534" s="110">
        <f t="shared" si="123"/>
        <v>0</v>
      </c>
      <c r="Z534" s="110">
        <f t="shared" si="124"/>
        <v>0</v>
      </c>
      <c r="AA534" s="110">
        <f t="shared" si="117"/>
        <v>0</v>
      </c>
      <c r="AB534" s="110">
        <f t="shared" si="128"/>
        <v>0</v>
      </c>
      <c r="AC534" s="371" t="s">
        <v>163</v>
      </c>
      <c r="AD534" s="371" t="s">
        <v>148</v>
      </c>
      <c r="AE534" s="371" t="s">
        <v>149</v>
      </c>
      <c r="AF534" s="371"/>
    </row>
    <row r="535" spans="1:32" hidden="1" x14ac:dyDescent="0.2">
      <c r="A535" s="14" t="str">
        <f t="shared" si="125"/>
        <v/>
      </c>
      <c r="B535" s="21" t="s">
        <v>575</v>
      </c>
      <c r="C535" s="15"/>
      <c r="D535" s="242"/>
      <c r="E535" s="280">
        <v>1.5</v>
      </c>
      <c r="F535" s="85">
        <v>160</v>
      </c>
      <c r="G535" s="85">
        <v>0.28100000000000003</v>
      </c>
      <c r="H535" s="15" t="s">
        <v>66</v>
      </c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7">
        <f t="shared" si="126"/>
        <v>0</v>
      </c>
      <c r="T535" s="7" t="s">
        <v>748</v>
      </c>
      <c r="U535" s="66">
        <f>0.45*AF$480</f>
        <v>0.45</v>
      </c>
      <c r="V535" s="31">
        <f t="shared" si="127"/>
        <v>0</v>
      </c>
      <c r="W535" s="35">
        <f>Rate!D$3</f>
        <v>34.5</v>
      </c>
      <c r="X535" s="110">
        <f t="shared" si="122"/>
        <v>0</v>
      </c>
      <c r="Y535" s="110">
        <f t="shared" si="123"/>
        <v>0</v>
      </c>
      <c r="Z535" s="110">
        <f t="shared" si="124"/>
        <v>0</v>
      </c>
      <c r="AA535" s="110">
        <f t="shared" si="117"/>
        <v>0</v>
      </c>
      <c r="AB535" s="110">
        <f t="shared" si="128"/>
        <v>0</v>
      </c>
      <c r="AC535" s="371" t="s">
        <v>163</v>
      </c>
      <c r="AD535" s="371" t="s">
        <v>148</v>
      </c>
      <c r="AE535" s="371" t="s">
        <v>149</v>
      </c>
      <c r="AF535" s="371"/>
    </row>
    <row r="536" spans="1:32" hidden="1" x14ac:dyDescent="0.2">
      <c r="A536" s="14" t="str">
        <f t="shared" si="125"/>
        <v/>
      </c>
      <c r="B536" s="21" t="s">
        <v>575</v>
      </c>
      <c r="C536" s="15"/>
      <c r="D536" s="242"/>
      <c r="E536" s="280">
        <v>2</v>
      </c>
      <c r="F536" s="85">
        <v>160</v>
      </c>
      <c r="G536" s="85">
        <v>0.34300000000000003</v>
      </c>
      <c r="H536" s="15" t="s">
        <v>66</v>
      </c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7">
        <f t="shared" si="126"/>
        <v>0</v>
      </c>
      <c r="T536" s="7" t="s">
        <v>748</v>
      </c>
      <c r="U536" s="66">
        <f>0.49*AF$480</f>
        <v>0.49</v>
      </c>
      <c r="V536" s="31">
        <f t="shared" si="127"/>
        <v>0</v>
      </c>
      <c r="W536" s="35">
        <f>Rate!D$3</f>
        <v>34.5</v>
      </c>
      <c r="X536" s="110">
        <f t="shared" si="122"/>
        <v>0</v>
      </c>
      <c r="Y536" s="110">
        <f t="shared" si="123"/>
        <v>0</v>
      </c>
      <c r="Z536" s="110">
        <f t="shared" si="124"/>
        <v>0</v>
      </c>
      <c r="AA536" s="110">
        <f t="shared" si="117"/>
        <v>0</v>
      </c>
      <c r="AB536" s="110">
        <f t="shared" si="128"/>
        <v>0</v>
      </c>
      <c r="AC536" s="371" t="s">
        <v>163</v>
      </c>
      <c r="AD536" s="371" t="s">
        <v>148</v>
      </c>
      <c r="AE536" s="371" t="s">
        <v>149</v>
      </c>
      <c r="AF536" s="371"/>
    </row>
    <row r="537" spans="1:32" hidden="1" x14ac:dyDescent="0.2">
      <c r="A537" s="14" t="str">
        <f t="shared" si="125"/>
        <v/>
      </c>
      <c r="B537" s="21" t="s">
        <v>575</v>
      </c>
      <c r="C537" s="15"/>
      <c r="D537" s="242"/>
      <c r="E537" s="280">
        <v>3</v>
      </c>
      <c r="F537" s="85">
        <v>160</v>
      </c>
      <c r="G537" s="85">
        <v>0.437</v>
      </c>
      <c r="H537" s="15" t="s">
        <v>66</v>
      </c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7">
        <f t="shared" si="126"/>
        <v>0</v>
      </c>
      <c r="T537" s="7" t="s">
        <v>748</v>
      </c>
      <c r="U537" s="66">
        <f>0.59*AF$480</f>
        <v>0.59</v>
      </c>
      <c r="V537" s="31">
        <f t="shared" si="127"/>
        <v>0</v>
      </c>
      <c r="W537" s="35">
        <f>Rate!D$3</f>
        <v>34.5</v>
      </c>
      <c r="X537" s="110">
        <f t="shared" si="122"/>
        <v>0</v>
      </c>
      <c r="Y537" s="110">
        <f t="shared" si="123"/>
        <v>0</v>
      </c>
      <c r="Z537" s="110">
        <f t="shared" si="124"/>
        <v>0</v>
      </c>
      <c r="AA537" s="110">
        <f t="shared" si="117"/>
        <v>0</v>
      </c>
      <c r="AB537" s="110">
        <f t="shared" si="128"/>
        <v>0</v>
      </c>
      <c r="AC537" s="371" t="s">
        <v>163</v>
      </c>
      <c r="AD537" s="371" t="s">
        <v>148</v>
      </c>
      <c r="AE537" s="371" t="s">
        <v>149</v>
      </c>
      <c r="AF537" s="371"/>
    </row>
    <row r="538" spans="1:32" hidden="1" x14ac:dyDescent="0.2">
      <c r="A538" s="14" t="str">
        <f t="shared" si="125"/>
        <v/>
      </c>
      <c r="B538" s="21" t="s">
        <v>575</v>
      </c>
      <c r="C538" s="15"/>
      <c r="D538" s="242"/>
      <c r="E538" s="280">
        <v>4</v>
      </c>
      <c r="F538" s="85">
        <v>160</v>
      </c>
      <c r="G538" s="85">
        <v>0.53100000000000003</v>
      </c>
      <c r="H538" s="15" t="s">
        <v>66</v>
      </c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7">
        <f t="shared" si="126"/>
        <v>0</v>
      </c>
      <c r="T538" s="7" t="s">
        <v>748</v>
      </c>
      <c r="U538" s="66">
        <f>0.66*AF$480</f>
        <v>0.66</v>
      </c>
      <c r="V538" s="31">
        <f t="shared" si="127"/>
        <v>0</v>
      </c>
      <c r="W538" s="35">
        <f>Rate!D$3</f>
        <v>34.5</v>
      </c>
      <c r="X538" s="110">
        <f t="shared" si="122"/>
        <v>0</v>
      </c>
      <c r="Y538" s="110">
        <f t="shared" si="123"/>
        <v>0</v>
      </c>
      <c r="Z538" s="110">
        <f t="shared" si="124"/>
        <v>0</v>
      </c>
      <c r="AA538" s="110">
        <f t="shared" si="117"/>
        <v>0</v>
      </c>
      <c r="AB538" s="110">
        <f t="shared" si="128"/>
        <v>0</v>
      </c>
      <c r="AC538" s="371" t="s">
        <v>163</v>
      </c>
      <c r="AD538" s="371" t="s">
        <v>148</v>
      </c>
      <c r="AE538" s="371" t="s">
        <v>149</v>
      </c>
      <c r="AF538" s="371"/>
    </row>
    <row r="539" spans="1:32" hidden="1" x14ac:dyDescent="0.2">
      <c r="A539" s="14" t="str">
        <f t="shared" si="125"/>
        <v/>
      </c>
      <c r="B539" s="21" t="s">
        <v>575</v>
      </c>
      <c r="C539" s="15"/>
      <c r="D539" s="242"/>
      <c r="E539" s="280">
        <v>6</v>
      </c>
      <c r="F539" s="85">
        <v>160</v>
      </c>
      <c r="G539" s="85">
        <v>0.71799999999999997</v>
      </c>
      <c r="H539" s="15" t="s">
        <v>66</v>
      </c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7">
        <f t="shared" si="126"/>
        <v>0</v>
      </c>
      <c r="T539" s="7" t="s">
        <v>748</v>
      </c>
      <c r="U539" s="66">
        <f>0.84*AF$480</f>
        <v>0.84</v>
      </c>
      <c r="V539" s="31">
        <f t="shared" si="127"/>
        <v>0</v>
      </c>
      <c r="W539" s="35">
        <f>Rate!D$3</f>
        <v>34.5</v>
      </c>
      <c r="X539" s="110">
        <f t="shared" si="122"/>
        <v>0</v>
      </c>
      <c r="Y539" s="110">
        <f t="shared" si="123"/>
        <v>0</v>
      </c>
      <c r="Z539" s="110">
        <f t="shared" si="124"/>
        <v>0</v>
      </c>
      <c r="AA539" s="110">
        <f t="shared" ref="AA539:AA546" si="131">IF(H539="E",G539*S539*W539,0)</f>
        <v>0</v>
      </c>
      <c r="AB539" s="110">
        <f t="shared" si="128"/>
        <v>0</v>
      </c>
      <c r="AC539" s="371" t="s">
        <v>163</v>
      </c>
      <c r="AD539" s="371" t="s">
        <v>148</v>
      </c>
      <c r="AE539" s="371" t="s">
        <v>149</v>
      </c>
      <c r="AF539" s="371"/>
    </row>
    <row r="540" spans="1:32" hidden="1" x14ac:dyDescent="0.2">
      <c r="A540" s="14" t="str">
        <f t="shared" si="125"/>
        <v/>
      </c>
      <c r="B540" s="21" t="s">
        <v>575</v>
      </c>
      <c r="C540" s="15"/>
      <c r="D540" s="242"/>
      <c r="E540" s="280">
        <v>8</v>
      </c>
      <c r="F540" s="85">
        <v>160</v>
      </c>
      <c r="G540" s="85">
        <v>0.90600000000000003</v>
      </c>
      <c r="H540" s="15" t="s">
        <v>66</v>
      </c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7">
        <f t="shared" si="126"/>
        <v>0</v>
      </c>
      <c r="T540" s="7" t="s">
        <v>748</v>
      </c>
      <c r="U540" s="66">
        <f>0.99*AF$480</f>
        <v>0.99</v>
      </c>
      <c r="V540" s="31">
        <f t="shared" si="127"/>
        <v>0</v>
      </c>
      <c r="W540" s="35">
        <f>Rate!D$3</f>
        <v>34.5</v>
      </c>
      <c r="X540" s="110">
        <f t="shared" si="122"/>
        <v>0</v>
      </c>
      <c r="Y540" s="110">
        <f t="shared" si="123"/>
        <v>0</v>
      </c>
      <c r="Z540" s="110">
        <f t="shared" si="124"/>
        <v>0</v>
      </c>
      <c r="AA540" s="110">
        <f t="shared" si="131"/>
        <v>0</v>
      </c>
      <c r="AB540" s="110">
        <f t="shared" si="128"/>
        <v>0</v>
      </c>
      <c r="AC540" s="371" t="s">
        <v>163</v>
      </c>
      <c r="AD540" s="371" t="s">
        <v>148</v>
      </c>
      <c r="AE540" s="371" t="s">
        <v>149</v>
      </c>
      <c r="AF540" s="371"/>
    </row>
    <row r="541" spans="1:32" hidden="1" x14ac:dyDescent="0.2">
      <c r="A541" s="14" t="str">
        <f t="shared" si="125"/>
        <v/>
      </c>
      <c r="B541" s="21" t="s">
        <v>575</v>
      </c>
      <c r="C541" s="15"/>
      <c r="D541" s="242"/>
      <c r="E541" s="280">
        <v>10</v>
      </c>
      <c r="F541" s="85">
        <v>160</v>
      </c>
      <c r="G541" s="85">
        <v>1.125</v>
      </c>
      <c r="H541" s="15" t="s">
        <v>66</v>
      </c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7">
        <f t="shared" si="126"/>
        <v>0</v>
      </c>
      <c r="T541" s="7" t="s">
        <v>748</v>
      </c>
      <c r="U541" s="66">
        <f>1.38*AF$480</f>
        <v>1.38</v>
      </c>
      <c r="V541" s="31">
        <f t="shared" si="127"/>
        <v>0</v>
      </c>
      <c r="W541" s="35">
        <f>Rate!D$3</f>
        <v>34.5</v>
      </c>
      <c r="X541" s="110">
        <f t="shared" si="122"/>
        <v>0</v>
      </c>
      <c r="Y541" s="110">
        <f t="shared" si="123"/>
        <v>0</v>
      </c>
      <c r="Z541" s="110">
        <f t="shared" si="124"/>
        <v>0</v>
      </c>
      <c r="AA541" s="110">
        <f t="shared" si="131"/>
        <v>0</v>
      </c>
      <c r="AB541" s="110">
        <f t="shared" si="128"/>
        <v>0</v>
      </c>
      <c r="AC541" s="371" t="s">
        <v>163</v>
      </c>
      <c r="AD541" s="371" t="s">
        <v>148</v>
      </c>
      <c r="AE541" s="371" t="s">
        <v>149</v>
      </c>
      <c r="AF541" s="371"/>
    </row>
    <row r="542" spans="1:32" hidden="1" x14ac:dyDescent="0.2">
      <c r="A542" s="14" t="str">
        <f t="shared" si="125"/>
        <v/>
      </c>
      <c r="B542" s="21" t="s">
        <v>575</v>
      </c>
      <c r="C542" s="15"/>
      <c r="D542" s="242"/>
      <c r="E542" s="280">
        <v>12</v>
      </c>
      <c r="F542" s="85">
        <v>160</v>
      </c>
      <c r="G542" s="85">
        <v>1.3120000000000001</v>
      </c>
      <c r="H542" s="15" t="s">
        <v>66</v>
      </c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7">
        <f t="shared" si="126"/>
        <v>0</v>
      </c>
      <c r="T542" s="7" t="s">
        <v>748</v>
      </c>
      <c r="U542" s="66">
        <f>1.69*AF$480</f>
        <v>1.69</v>
      </c>
      <c r="V542" s="31">
        <f t="shared" si="127"/>
        <v>0</v>
      </c>
      <c r="W542" s="35">
        <f>Rate!D$3</f>
        <v>34.5</v>
      </c>
      <c r="X542" s="110">
        <f t="shared" si="122"/>
        <v>0</v>
      </c>
      <c r="Y542" s="110">
        <f t="shared" si="123"/>
        <v>0</v>
      </c>
      <c r="Z542" s="110">
        <f t="shared" si="124"/>
        <v>0</v>
      </c>
      <c r="AA542" s="110">
        <f t="shared" si="131"/>
        <v>0</v>
      </c>
      <c r="AB542" s="110">
        <f t="shared" si="128"/>
        <v>0</v>
      </c>
      <c r="AC542" s="371" t="s">
        <v>163</v>
      </c>
      <c r="AD542" s="371" t="s">
        <v>148</v>
      </c>
      <c r="AE542" s="371" t="s">
        <v>149</v>
      </c>
      <c r="AF542" s="371"/>
    </row>
    <row r="543" spans="1:32" hidden="1" x14ac:dyDescent="0.2">
      <c r="A543" s="14" t="str">
        <f t="shared" si="125"/>
        <v/>
      </c>
      <c r="B543" s="21" t="s">
        <v>575</v>
      </c>
      <c r="C543" s="15"/>
      <c r="D543" s="242"/>
      <c r="E543" s="280">
        <v>14</v>
      </c>
      <c r="F543" s="85">
        <v>160</v>
      </c>
      <c r="G543" s="85">
        <v>1.4059999999999999</v>
      </c>
      <c r="H543" s="15" t="s">
        <v>66</v>
      </c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7">
        <f t="shared" si="126"/>
        <v>0</v>
      </c>
      <c r="T543" s="7" t="s">
        <v>748</v>
      </c>
      <c r="U543" s="66">
        <f>1.98*AF$480</f>
        <v>1.98</v>
      </c>
      <c r="V543" s="31">
        <f t="shared" si="127"/>
        <v>0</v>
      </c>
      <c r="W543" s="35">
        <f>Rate!D$3</f>
        <v>34.5</v>
      </c>
      <c r="X543" s="110">
        <f t="shared" si="122"/>
        <v>0</v>
      </c>
      <c r="Y543" s="110">
        <f t="shared" si="123"/>
        <v>0</v>
      </c>
      <c r="Z543" s="110">
        <f t="shared" si="124"/>
        <v>0</v>
      </c>
      <c r="AA543" s="110">
        <f t="shared" si="131"/>
        <v>0</v>
      </c>
      <c r="AB543" s="110">
        <f>SUM(X543:AA543)</f>
        <v>0</v>
      </c>
      <c r="AC543" s="371" t="s">
        <v>163</v>
      </c>
      <c r="AD543" s="371" t="s">
        <v>148</v>
      </c>
      <c r="AE543" s="371" t="s">
        <v>149</v>
      </c>
      <c r="AF543" s="371"/>
    </row>
    <row r="544" spans="1:32" hidden="1" x14ac:dyDescent="0.2">
      <c r="A544" s="14" t="str">
        <f t="shared" si="125"/>
        <v/>
      </c>
      <c r="B544" s="21" t="s">
        <v>575</v>
      </c>
      <c r="C544" s="15"/>
      <c r="D544" s="242"/>
      <c r="E544" s="280">
        <v>0.5</v>
      </c>
      <c r="F544" s="85" t="s">
        <v>76</v>
      </c>
      <c r="G544" s="85">
        <v>0.29399999999999998</v>
      </c>
      <c r="H544" s="15" t="s">
        <v>66</v>
      </c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7">
        <f t="shared" si="126"/>
        <v>0</v>
      </c>
      <c r="T544" s="7" t="s">
        <v>748</v>
      </c>
      <c r="U544" s="66">
        <f>0.34*AF$480</f>
        <v>0.34</v>
      </c>
      <c r="V544" s="31">
        <f t="shared" si="127"/>
        <v>0</v>
      </c>
      <c r="W544" s="35">
        <f>Rate!D$3</f>
        <v>34.5</v>
      </c>
      <c r="X544" s="110">
        <f t="shared" si="122"/>
        <v>0</v>
      </c>
      <c r="Y544" s="110">
        <f t="shared" si="123"/>
        <v>0</v>
      </c>
      <c r="Z544" s="110">
        <f t="shared" si="124"/>
        <v>0</v>
      </c>
      <c r="AA544" s="110">
        <f t="shared" si="131"/>
        <v>0</v>
      </c>
      <c r="AB544" s="110">
        <f>SUM(X544:AA544)</f>
        <v>0</v>
      </c>
      <c r="AC544" s="371" t="s">
        <v>163</v>
      </c>
      <c r="AD544" s="371" t="s">
        <v>148</v>
      </c>
      <c r="AE544" s="371" t="s">
        <v>149</v>
      </c>
      <c r="AF544" s="371"/>
    </row>
    <row r="545" spans="1:32" x14ac:dyDescent="0.2">
      <c r="A545" s="14" t="str">
        <f>IF(SUM(S$481:S$544)&lt;&gt;0,"X","")</f>
        <v>X</v>
      </c>
      <c r="B545" s="74" t="s">
        <v>677</v>
      </c>
      <c r="C545" s="7" t="s">
        <v>13</v>
      </c>
      <c r="D545" s="242"/>
      <c r="E545" s="306">
        <f>IFERROR(SUMPRODUCT(E481:E544,S481:S544)/F545,0)</f>
        <v>8.026315789473685</v>
      </c>
      <c r="F545" s="299">
        <f>SUM(S481:S544)</f>
        <v>1520</v>
      </c>
      <c r="G545" s="301">
        <f>SUM(V481:V544)</f>
        <v>929.57999999999993</v>
      </c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V545" s="94"/>
      <c r="W545" s="17"/>
      <c r="X545" s="111">
        <f t="shared" si="122"/>
        <v>0</v>
      </c>
      <c r="Y545" s="111">
        <f t="shared" si="123"/>
        <v>0</v>
      </c>
      <c r="Z545" s="111">
        <f t="shared" si="124"/>
        <v>0</v>
      </c>
      <c r="AA545" s="111">
        <f t="shared" si="131"/>
        <v>0</v>
      </c>
      <c r="AB545" s="112"/>
    </row>
    <row r="546" spans="1:32" ht="13.5" thickBot="1" x14ac:dyDescent="0.25">
      <c r="A546" s="14" t="str">
        <f>IF(SUM(S$481:S$544)&lt;&gt;0,"X","")</f>
        <v>X</v>
      </c>
      <c r="B546" s="74" t="s">
        <v>645</v>
      </c>
      <c r="C546" s="322" t="s">
        <v>13</v>
      </c>
      <c r="D546" s="304"/>
      <c r="E546" s="41"/>
      <c r="F546" s="237"/>
      <c r="G546" s="300">
        <v>0</v>
      </c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T546" s="22"/>
      <c r="U546" s="23"/>
      <c r="V546" s="95"/>
      <c r="W546" s="24"/>
      <c r="X546" s="113">
        <f t="shared" si="122"/>
        <v>0</v>
      </c>
      <c r="Y546" s="113">
        <f t="shared" si="123"/>
        <v>0</v>
      </c>
      <c r="Z546" s="113">
        <f t="shared" si="124"/>
        <v>0</v>
      </c>
      <c r="AA546" s="113">
        <f t="shared" si="131"/>
        <v>0</v>
      </c>
      <c r="AB546" s="112"/>
    </row>
    <row r="547" spans="1:32" ht="13.5" hidden="1" thickBot="1" x14ac:dyDescent="0.25">
      <c r="A547" s="14" t="str">
        <f>IF(SUM(AB$548:AB$550)&lt;&gt;0,"X","")</f>
        <v/>
      </c>
      <c r="B547" s="198" t="s">
        <v>264</v>
      </c>
      <c r="C547" s="200" t="s">
        <v>13</v>
      </c>
      <c r="D547" s="207"/>
      <c r="E547" s="200"/>
      <c r="F547" s="200"/>
      <c r="G547" s="200"/>
      <c r="H547" s="200"/>
      <c r="I547" s="200"/>
      <c r="J547" s="200"/>
      <c r="K547" s="200"/>
      <c r="L547" s="200"/>
      <c r="M547" s="200"/>
      <c r="N547" s="200"/>
      <c r="O547" s="200"/>
      <c r="P547" s="200"/>
      <c r="Q547" s="200"/>
      <c r="R547" s="200"/>
      <c r="S547" s="200"/>
      <c r="T547" s="200"/>
      <c r="U547" s="208"/>
      <c r="V547" s="206"/>
      <c r="W547" s="203"/>
      <c r="X547" s="204">
        <f t="shared" ref="X547:X578" si="132">IF(H547="L",V547*W547,0)</f>
        <v>0</v>
      </c>
      <c r="Y547" s="204">
        <f t="shared" ref="Y547:Y578" si="133">IF(H547="M",S547*W547,0)</f>
        <v>0</v>
      </c>
      <c r="Z547" s="204">
        <f t="shared" ref="Z547:Z578" si="134">IF(H547="S",S547*W547,0)</f>
        <v>0</v>
      </c>
      <c r="AA547" s="204">
        <f t="shared" ref="AA547:AA578" si="135">IF(H547="E",G547*S547*W547,0)</f>
        <v>0</v>
      </c>
      <c r="AB547" s="205"/>
      <c r="AC547" s="369"/>
      <c r="AD547" s="369"/>
      <c r="AE547" s="369" t="s">
        <v>13</v>
      </c>
      <c r="AF547" s="369"/>
    </row>
    <row r="548" spans="1:32" ht="13.5" hidden="1" thickBot="1" x14ac:dyDescent="0.25">
      <c r="A548" s="14" t="str">
        <f>+IF(AB548&lt;&gt;0,"X","")</f>
        <v/>
      </c>
      <c r="B548" s="69" t="s">
        <v>265</v>
      </c>
      <c r="C548" s="15"/>
      <c r="D548" s="349">
        <f>Z548/E548</f>
        <v>0</v>
      </c>
      <c r="E548" s="248">
        <v>75</v>
      </c>
      <c r="G548" s="85" t="s">
        <v>594</v>
      </c>
      <c r="H548" s="15" t="s">
        <v>67</v>
      </c>
      <c r="I548" s="379"/>
      <c r="J548" s="37"/>
      <c r="K548" s="37"/>
      <c r="L548" s="37"/>
      <c r="M548" s="37"/>
      <c r="N548" s="37"/>
      <c r="O548" s="37"/>
      <c r="P548" s="37"/>
      <c r="Q548" s="37"/>
      <c r="R548" s="37"/>
      <c r="S548" s="121">
        <v>1</v>
      </c>
      <c r="T548" s="19" t="s">
        <v>491</v>
      </c>
      <c r="U548" s="66"/>
      <c r="V548" s="31"/>
      <c r="W548" s="87">
        <f>SUM(I548:R548)</f>
        <v>0</v>
      </c>
      <c r="X548" s="110">
        <f t="shared" si="132"/>
        <v>0</v>
      </c>
      <c r="Y548" s="110">
        <f t="shared" si="133"/>
        <v>0</v>
      </c>
      <c r="Z548" s="110">
        <f t="shared" si="134"/>
        <v>0</v>
      </c>
      <c r="AA548" s="110">
        <f t="shared" si="135"/>
        <v>0</v>
      </c>
      <c r="AB548" s="110">
        <f t="shared" ref="AB548:AB552" si="136">SUM(X548:AA548)</f>
        <v>0</v>
      </c>
      <c r="AC548" s="371" t="s">
        <v>163</v>
      </c>
      <c r="AD548" s="371" t="s">
        <v>150</v>
      </c>
      <c r="AE548" s="371" t="s">
        <v>482</v>
      </c>
      <c r="AF548" s="371"/>
    </row>
    <row r="549" spans="1:32" ht="13.5" hidden="1" thickBot="1" x14ac:dyDescent="0.25">
      <c r="A549" s="14" t="str">
        <f>+IF(AB549&lt;&gt;0,"X","")</f>
        <v/>
      </c>
      <c r="B549" s="69" t="s">
        <v>612</v>
      </c>
      <c r="C549" s="323"/>
      <c r="D549" s="241"/>
      <c r="E549" s="20"/>
      <c r="F549" s="21"/>
      <c r="G549" s="85" t="s">
        <v>594</v>
      </c>
      <c r="H549" s="380" t="s">
        <v>65</v>
      </c>
      <c r="I549" s="381"/>
      <c r="J549" s="381"/>
      <c r="K549" s="381"/>
      <c r="L549" s="381"/>
      <c r="M549" s="381"/>
      <c r="N549" s="381"/>
      <c r="O549" s="381"/>
      <c r="P549" s="381"/>
      <c r="Q549" s="381"/>
      <c r="R549" s="381"/>
      <c r="S549" s="88">
        <v>1</v>
      </c>
      <c r="T549" s="7" t="s">
        <v>491</v>
      </c>
      <c r="U549" s="66"/>
      <c r="V549" s="31"/>
      <c r="W549" s="87">
        <f>SUM(I549:R549)</f>
        <v>0</v>
      </c>
      <c r="X549" s="110">
        <f t="shared" si="132"/>
        <v>0</v>
      </c>
      <c r="Y549" s="110">
        <f t="shared" si="133"/>
        <v>0</v>
      </c>
      <c r="Z549" s="110">
        <f t="shared" si="134"/>
        <v>0</v>
      </c>
      <c r="AA549" s="110">
        <f t="shared" si="135"/>
        <v>0</v>
      </c>
      <c r="AB549" s="110">
        <f>SUM(X549:AA549)</f>
        <v>0</v>
      </c>
      <c r="AC549" s="382" t="s">
        <v>163</v>
      </c>
      <c r="AD549" s="382" t="s">
        <v>150</v>
      </c>
      <c r="AE549" s="382" t="s">
        <v>13</v>
      </c>
      <c r="AF549" s="382"/>
    </row>
    <row r="550" spans="1:32" ht="13.5" hidden="1" thickBot="1" x14ac:dyDescent="0.25">
      <c r="A550" s="14" t="str">
        <f>+IF(AB550&lt;&gt;0,"X","")</f>
        <v/>
      </c>
      <c r="B550" s="69" t="s">
        <v>613</v>
      </c>
      <c r="C550" s="15"/>
      <c r="D550" s="242"/>
      <c r="E550" s="20"/>
      <c r="F550" s="21"/>
      <c r="G550" s="85" t="s">
        <v>595</v>
      </c>
      <c r="H550" s="15" t="s">
        <v>66</v>
      </c>
      <c r="I550" s="30"/>
      <c r="J550" s="30"/>
      <c r="K550" s="30"/>
      <c r="L550" s="30"/>
      <c r="M550" s="30"/>
      <c r="N550" s="30"/>
      <c r="O550" s="30"/>
      <c r="P550" s="30"/>
      <c r="Q550" s="30"/>
      <c r="R550" s="30"/>
      <c r="S550" s="88">
        <v>1</v>
      </c>
      <c r="T550" s="7" t="s">
        <v>491</v>
      </c>
      <c r="U550" s="31">
        <f>SUM(I550:R550)</f>
        <v>0</v>
      </c>
      <c r="V550" s="31">
        <f>+S550*U550*$AF$480</f>
        <v>0</v>
      </c>
      <c r="W550" s="35">
        <f>Rate!D$23</f>
        <v>30</v>
      </c>
      <c r="X550" s="110">
        <f t="shared" si="132"/>
        <v>0</v>
      </c>
      <c r="Y550" s="110">
        <f t="shared" si="133"/>
        <v>0</v>
      </c>
      <c r="Z550" s="110">
        <f t="shared" si="134"/>
        <v>0</v>
      </c>
      <c r="AA550" s="110">
        <f t="shared" si="135"/>
        <v>0</v>
      </c>
      <c r="AB550" s="110">
        <f>SUM(X550:AA550)</f>
        <v>0</v>
      </c>
      <c r="AC550" s="371" t="s">
        <v>163</v>
      </c>
      <c r="AD550" s="371" t="s">
        <v>150</v>
      </c>
      <c r="AE550" s="371" t="s">
        <v>149</v>
      </c>
      <c r="AF550" s="371"/>
    </row>
    <row r="551" spans="1:32" ht="13.5" hidden="1" thickBot="1" x14ac:dyDescent="0.25">
      <c r="A551" s="14" t="str">
        <f>IF(SUM(AB$552:AB$557)&lt;&gt;0,"X","")</f>
        <v/>
      </c>
      <c r="B551" s="198" t="s">
        <v>168</v>
      </c>
      <c r="C551" s="200" t="s">
        <v>13</v>
      </c>
      <c r="D551" s="207"/>
      <c r="E551" s="199"/>
      <c r="F551" s="200"/>
      <c r="G551" s="200"/>
      <c r="H551" s="200"/>
      <c r="I551" s="200"/>
      <c r="J551" s="200"/>
      <c r="K551" s="200"/>
      <c r="L551" s="200"/>
      <c r="M551" s="200"/>
      <c r="N551" s="200"/>
      <c r="O551" s="200"/>
      <c r="P551" s="200"/>
      <c r="Q551" s="200"/>
      <c r="R551" s="200"/>
      <c r="S551" s="200"/>
      <c r="T551" s="200"/>
      <c r="U551" s="201"/>
      <c r="V551" s="202"/>
      <c r="W551" s="203"/>
      <c r="X551" s="204">
        <f t="shared" si="132"/>
        <v>0</v>
      </c>
      <c r="Y551" s="204">
        <f t="shared" si="133"/>
        <v>0</v>
      </c>
      <c r="Z551" s="204">
        <f t="shared" si="134"/>
        <v>0</v>
      </c>
      <c r="AA551" s="204">
        <f t="shared" si="135"/>
        <v>0</v>
      </c>
      <c r="AB551" s="205"/>
      <c r="AC551" s="369"/>
      <c r="AD551" s="369"/>
      <c r="AE551" s="369" t="s">
        <v>13</v>
      </c>
      <c r="AF551" s="369"/>
    </row>
    <row r="552" spans="1:32" ht="13.5" hidden="1" thickBot="1" x14ac:dyDescent="0.25">
      <c r="A552" s="14" t="str">
        <f t="shared" ref="A552:A557" si="137">+IF(AB552&lt;&gt;0,"X","")</f>
        <v/>
      </c>
      <c r="B552" s="69" t="s">
        <v>266</v>
      </c>
      <c r="C552" s="323"/>
      <c r="D552" s="241"/>
      <c r="E552" s="20"/>
      <c r="F552" s="21"/>
      <c r="G552" s="85" t="s">
        <v>596</v>
      </c>
      <c r="H552" s="380" t="s">
        <v>65</v>
      </c>
      <c r="I552" s="30"/>
      <c r="J552" s="30"/>
      <c r="K552" s="30"/>
      <c r="L552" s="30"/>
      <c r="M552" s="30"/>
      <c r="N552" s="30"/>
      <c r="O552" s="30"/>
      <c r="P552" s="30"/>
      <c r="Q552" s="30"/>
      <c r="R552" s="30"/>
      <c r="S552" s="27">
        <f t="shared" ref="S552:S557" si="138">SUM(I552:R552)</f>
        <v>0</v>
      </c>
      <c r="T552" s="7" t="s">
        <v>749</v>
      </c>
      <c r="U552" s="31"/>
      <c r="V552" s="31">
        <f>+S552*U552*$AF$480</f>
        <v>0</v>
      </c>
      <c r="W552" s="124">
        <v>50</v>
      </c>
      <c r="X552" s="110">
        <f t="shared" si="132"/>
        <v>0</v>
      </c>
      <c r="Y552" s="110">
        <f t="shared" si="133"/>
        <v>0</v>
      </c>
      <c r="Z552" s="110">
        <f t="shared" si="134"/>
        <v>0</v>
      </c>
      <c r="AA552" s="110">
        <f t="shared" si="135"/>
        <v>0</v>
      </c>
      <c r="AB552" s="110">
        <f t="shared" si="136"/>
        <v>0</v>
      </c>
      <c r="AC552" s="382" t="s">
        <v>163</v>
      </c>
      <c r="AD552" s="382" t="s">
        <v>150</v>
      </c>
      <c r="AE552" s="382" t="s">
        <v>13</v>
      </c>
      <c r="AF552" s="382"/>
    </row>
    <row r="553" spans="1:32" ht="13.5" hidden="1" thickBot="1" x14ac:dyDescent="0.25">
      <c r="A553" s="14" t="str">
        <f t="shared" si="137"/>
        <v/>
      </c>
      <c r="B553" s="69" t="s">
        <v>267</v>
      </c>
      <c r="C553" s="15"/>
      <c r="D553" s="242"/>
      <c r="E553" s="20"/>
      <c r="F553" s="21"/>
      <c r="G553" s="85" t="s">
        <v>597</v>
      </c>
      <c r="H553" s="15" t="s">
        <v>66</v>
      </c>
      <c r="I553" s="30"/>
      <c r="J553" s="30"/>
      <c r="K553" s="30"/>
      <c r="L553" s="30"/>
      <c r="M553" s="30"/>
      <c r="N553" s="30"/>
      <c r="O553" s="30"/>
      <c r="P553" s="30"/>
      <c r="Q553" s="30"/>
      <c r="R553" s="30"/>
      <c r="S553" s="27">
        <f>SUM(I553:R553)</f>
        <v>0</v>
      </c>
      <c r="T553" s="7" t="s">
        <v>495</v>
      </c>
      <c r="U553" s="160">
        <v>3.5</v>
      </c>
      <c r="V553" s="31">
        <f>+S553*U553*$AF$480</f>
        <v>0</v>
      </c>
      <c r="W553" s="35">
        <f>Rate!D$23</f>
        <v>30</v>
      </c>
      <c r="X553" s="110">
        <f t="shared" si="132"/>
        <v>0</v>
      </c>
      <c r="Y553" s="110">
        <f t="shared" si="133"/>
        <v>0</v>
      </c>
      <c r="Z553" s="110">
        <f t="shared" si="134"/>
        <v>0</v>
      </c>
      <c r="AA553" s="110">
        <f t="shared" si="135"/>
        <v>0</v>
      </c>
      <c r="AB553" s="110">
        <f>SUM(X553:AA553)</f>
        <v>0</v>
      </c>
      <c r="AC553" s="371" t="s">
        <v>163</v>
      </c>
      <c r="AD553" s="371" t="s">
        <v>150</v>
      </c>
      <c r="AE553" s="371" t="s">
        <v>149</v>
      </c>
      <c r="AF553" s="371"/>
    </row>
    <row r="554" spans="1:32" ht="13.5" hidden="1" thickBot="1" x14ac:dyDescent="0.25">
      <c r="A554" s="14" t="str">
        <f t="shared" si="137"/>
        <v/>
      </c>
      <c r="B554" s="69" t="s">
        <v>268</v>
      </c>
      <c r="C554" s="15"/>
      <c r="D554" s="242"/>
      <c r="E554" s="20"/>
      <c r="F554" s="21"/>
      <c r="G554" s="85" t="s">
        <v>596</v>
      </c>
      <c r="H554" s="350" t="s">
        <v>65</v>
      </c>
      <c r="I554" s="30"/>
      <c r="J554" s="30"/>
      <c r="K554" s="30"/>
      <c r="L554" s="30"/>
      <c r="M554" s="30"/>
      <c r="N554" s="30"/>
      <c r="O554" s="30"/>
      <c r="P554" s="30"/>
      <c r="Q554" s="30"/>
      <c r="R554" s="30"/>
      <c r="S554" s="27">
        <f t="shared" si="138"/>
        <v>0</v>
      </c>
      <c r="T554" s="7" t="s">
        <v>749</v>
      </c>
      <c r="U554" s="31">
        <v>0</v>
      </c>
      <c r="V554" s="31">
        <f>+S554*U554*$AF$480</f>
        <v>0</v>
      </c>
      <c r="W554" s="35">
        <v>300</v>
      </c>
      <c r="X554" s="110">
        <f t="shared" si="132"/>
        <v>0</v>
      </c>
      <c r="Y554" s="110">
        <f t="shared" si="133"/>
        <v>0</v>
      </c>
      <c r="Z554" s="110">
        <f t="shared" si="134"/>
        <v>0</v>
      </c>
      <c r="AA554" s="110">
        <f t="shared" si="135"/>
        <v>0</v>
      </c>
      <c r="AB554" s="110">
        <f>SUM(X554:AA554)</f>
        <v>0</v>
      </c>
      <c r="AC554" s="383" t="s">
        <v>163</v>
      </c>
      <c r="AD554" s="383" t="s">
        <v>150</v>
      </c>
      <c r="AE554" s="383" t="s">
        <v>13</v>
      </c>
      <c r="AF554" s="383"/>
    </row>
    <row r="555" spans="1:32" ht="13.5" hidden="1" thickBot="1" x14ac:dyDescent="0.25">
      <c r="A555" s="14" t="str">
        <f t="shared" si="137"/>
        <v/>
      </c>
      <c r="B555" s="69" t="s">
        <v>269</v>
      </c>
      <c r="C555" s="15"/>
      <c r="D555" s="242"/>
      <c r="E555" s="20"/>
      <c r="F555" s="21"/>
      <c r="G555" s="85" t="s">
        <v>597</v>
      </c>
      <c r="H555" s="350" t="s">
        <v>66</v>
      </c>
      <c r="I555" s="30"/>
      <c r="J555" s="30"/>
      <c r="K555" s="30"/>
      <c r="L555" s="30"/>
      <c r="M555" s="30"/>
      <c r="N555" s="30"/>
      <c r="O555" s="30"/>
      <c r="P555" s="30"/>
      <c r="Q555" s="30"/>
      <c r="R555" s="30"/>
      <c r="S555" s="27">
        <f t="shared" si="138"/>
        <v>0</v>
      </c>
      <c r="T555" s="7" t="s">
        <v>495</v>
      </c>
      <c r="U555" s="160">
        <v>7</v>
      </c>
      <c r="V555" s="31">
        <f>+S555*U555*$AF$480</f>
        <v>0</v>
      </c>
      <c r="W555" s="35">
        <f>Rate!D$23</f>
        <v>30</v>
      </c>
      <c r="X555" s="110">
        <f t="shared" si="132"/>
        <v>0</v>
      </c>
      <c r="Y555" s="110">
        <f t="shared" si="133"/>
        <v>0</v>
      </c>
      <c r="Z555" s="110">
        <f t="shared" si="134"/>
        <v>0</v>
      </c>
      <c r="AA555" s="110">
        <f t="shared" si="135"/>
        <v>0</v>
      </c>
      <c r="AB555" s="110">
        <f>SUM(X555:AA555)</f>
        <v>0</v>
      </c>
      <c r="AC555" s="383" t="s">
        <v>163</v>
      </c>
      <c r="AD555" s="383" t="s">
        <v>150</v>
      </c>
      <c r="AE555" s="383" t="s">
        <v>149</v>
      </c>
      <c r="AF555" s="383"/>
    </row>
    <row r="556" spans="1:32" ht="13.5" hidden="1" thickBot="1" x14ac:dyDescent="0.25">
      <c r="A556" s="14" t="str">
        <f t="shared" si="137"/>
        <v/>
      </c>
      <c r="B556" s="69" t="s">
        <v>270</v>
      </c>
      <c r="C556" s="350"/>
      <c r="D556" s="243"/>
      <c r="E556" s="53"/>
      <c r="F556" s="21"/>
      <c r="G556" s="85" t="s">
        <v>598</v>
      </c>
      <c r="H556" s="384" t="s">
        <v>67</v>
      </c>
      <c r="I556" s="30"/>
      <c r="J556" s="30"/>
      <c r="K556" s="30"/>
      <c r="L556" s="30"/>
      <c r="M556" s="30"/>
      <c r="N556" s="30"/>
      <c r="O556" s="30"/>
      <c r="P556" s="30"/>
      <c r="Q556" s="30"/>
      <c r="R556" s="30"/>
      <c r="S556" s="27">
        <f t="shared" si="138"/>
        <v>0</v>
      </c>
      <c r="T556" s="7" t="s">
        <v>496</v>
      </c>
      <c r="U556" s="31">
        <v>0</v>
      </c>
      <c r="V556" s="31">
        <f>S556*U556</f>
        <v>0</v>
      </c>
      <c r="W556" s="87">
        <v>750</v>
      </c>
      <c r="X556" s="110">
        <f t="shared" si="132"/>
        <v>0</v>
      </c>
      <c r="Y556" s="110">
        <f t="shared" si="133"/>
        <v>0</v>
      </c>
      <c r="Z556" s="110">
        <f t="shared" si="134"/>
        <v>0</v>
      </c>
      <c r="AA556" s="110">
        <f t="shared" si="135"/>
        <v>0</v>
      </c>
      <c r="AB556" s="110">
        <f>SUM(X556:AA556)</f>
        <v>0</v>
      </c>
      <c r="AC556" s="385" t="s">
        <v>163</v>
      </c>
      <c r="AD556" s="385" t="s">
        <v>168</v>
      </c>
      <c r="AE556" s="385"/>
      <c r="AF556" s="385"/>
    </row>
    <row r="557" spans="1:32" ht="13.5" hidden="1" thickBot="1" x14ac:dyDescent="0.25">
      <c r="A557" s="14" t="str">
        <f t="shared" si="137"/>
        <v/>
      </c>
      <c r="B557" s="69" t="s">
        <v>271</v>
      </c>
      <c r="C557" s="15"/>
      <c r="D557" s="349">
        <f>Z557/E557</f>
        <v>0</v>
      </c>
      <c r="E557" s="248">
        <v>200</v>
      </c>
      <c r="G557" s="85" t="s">
        <v>599</v>
      </c>
      <c r="H557" s="15" t="s">
        <v>67</v>
      </c>
      <c r="I557" s="30"/>
      <c r="J557" s="30"/>
      <c r="K557" s="30"/>
      <c r="L557" s="30"/>
      <c r="M557" s="30"/>
      <c r="N557" s="30"/>
      <c r="O557" s="30"/>
      <c r="P557" s="30"/>
      <c r="Q557" s="30"/>
      <c r="R557" s="30"/>
      <c r="S557" s="27">
        <f t="shared" si="138"/>
        <v>0</v>
      </c>
      <c r="T557" s="7" t="s">
        <v>115</v>
      </c>
      <c r="U557" s="31">
        <v>0</v>
      </c>
      <c r="V557" s="31">
        <f>S557*U557</f>
        <v>0</v>
      </c>
      <c r="W557" s="35">
        <v>2000</v>
      </c>
      <c r="X557" s="110">
        <f t="shared" si="132"/>
        <v>0</v>
      </c>
      <c r="Y557" s="110">
        <f t="shared" si="133"/>
        <v>0</v>
      </c>
      <c r="Z557" s="110">
        <f t="shared" si="134"/>
        <v>0</v>
      </c>
      <c r="AA557" s="110">
        <f t="shared" si="135"/>
        <v>0</v>
      </c>
      <c r="AB557" s="110">
        <f>SUM(X557:AA557)</f>
        <v>0</v>
      </c>
      <c r="AC557" s="371" t="s">
        <v>163</v>
      </c>
      <c r="AD557" s="371" t="s">
        <v>168</v>
      </c>
      <c r="AE557" s="371" t="s">
        <v>482</v>
      </c>
      <c r="AF557" s="371"/>
    </row>
    <row r="558" spans="1:32" ht="13.5" hidden="1" thickBot="1" x14ac:dyDescent="0.25">
      <c r="A558" s="14" t="str">
        <f>IF(SUM(AB$559:AB$562)&lt;&gt;0,"X","")</f>
        <v/>
      </c>
      <c r="B558" s="198" t="s">
        <v>272</v>
      </c>
      <c r="C558" s="200" t="s">
        <v>13</v>
      </c>
      <c r="D558" s="207"/>
      <c r="E558" s="199"/>
      <c r="F558" s="200"/>
      <c r="G558" s="200"/>
      <c r="H558" s="200"/>
      <c r="I558" s="200"/>
      <c r="J558" s="200"/>
      <c r="K558" s="200"/>
      <c r="L558" s="200"/>
      <c r="M558" s="200"/>
      <c r="N558" s="200"/>
      <c r="O558" s="200"/>
      <c r="P558" s="200"/>
      <c r="Q558" s="200"/>
      <c r="R558" s="200"/>
      <c r="S558" s="200"/>
      <c r="T558" s="200"/>
      <c r="U558" s="201"/>
      <c r="V558" s="202"/>
      <c r="W558" s="203"/>
      <c r="X558" s="204">
        <f t="shared" si="132"/>
        <v>0</v>
      </c>
      <c r="Y558" s="204">
        <f t="shared" si="133"/>
        <v>0</v>
      </c>
      <c r="Z558" s="204">
        <f t="shared" si="134"/>
        <v>0</v>
      </c>
      <c r="AA558" s="204">
        <f t="shared" si="135"/>
        <v>0</v>
      </c>
      <c r="AB558" s="205"/>
      <c r="AC558" s="369"/>
      <c r="AD558" s="369"/>
      <c r="AE558" s="369" t="s">
        <v>13</v>
      </c>
      <c r="AF558" s="369"/>
    </row>
    <row r="559" spans="1:32" ht="13.5" hidden="1" thickBot="1" x14ac:dyDescent="0.25">
      <c r="A559" s="14" t="str">
        <f>+IF(AB559&lt;&gt;0,"X","")</f>
        <v/>
      </c>
      <c r="B559" s="70" t="s">
        <v>273</v>
      </c>
      <c r="C559" s="323"/>
      <c r="D559" s="241"/>
      <c r="E559" s="25"/>
      <c r="F559" s="26"/>
      <c r="G559" s="85" t="s">
        <v>600</v>
      </c>
      <c r="H559" s="380" t="s">
        <v>65</v>
      </c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92">
        <f>SUM(I559:R559)</f>
        <v>0</v>
      </c>
      <c r="T559" s="19" t="s">
        <v>497</v>
      </c>
      <c r="U559" s="31" t="s">
        <v>13</v>
      </c>
      <c r="V559" s="93" t="s">
        <v>13</v>
      </c>
      <c r="W559" s="103">
        <v>2</v>
      </c>
      <c r="X559" s="109">
        <f t="shared" si="132"/>
        <v>0</v>
      </c>
      <c r="Y559" s="109">
        <f t="shared" si="133"/>
        <v>0</v>
      </c>
      <c r="Z559" s="109">
        <f t="shared" si="134"/>
        <v>0</v>
      </c>
      <c r="AA559" s="109">
        <f t="shared" si="135"/>
        <v>0</v>
      </c>
      <c r="AB559" s="109">
        <f>SUM(X559:AA559)</f>
        <v>0</v>
      </c>
      <c r="AC559" s="382" t="s">
        <v>163</v>
      </c>
      <c r="AD559" s="382" t="s">
        <v>169</v>
      </c>
      <c r="AE559" s="383" t="s">
        <v>13</v>
      </c>
      <c r="AF559" s="382"/>
    </row>
    <row r="560" spans="1:32" ht="13.5" hidden="1" thickBot="1" x14ac:dyDescent="0.25">
      <c r="A560" s="14" t="str">
        <f>+IF(AB560&lt;&gt;0,"X","")</f>
        <v/>
      </c>
      <c r="B560" s="69" t="s">
        <v>274</v>
      </c>
      <c r="C560" s="15"/>
      <c r="D560" s="242"/>
      <c r="E560" s="20"/>
      <c r="F560" s="21"/>
      <c r="G560" s="85" t="s">
        <v>601</v>
      </c>
      <c r="H560" s="15" t="s">
        <v>66</v>
      </c>
      <c r="I560" s="32"/>
      <c r="J560" s="32"/>
      <c r="K560" s="32"/>
      <c r="L560" s="32"/>
      <c r="M560" s="32"/>
      <c r="N560" s="32"/>
      <c r="O560" s="32"/>
      <c r="P560" s="32"/>
      <c r="Q560" s="32"/>
      <c r="R560" s="32"/>
      <c r="S560" s="89">
        <f>SUM(I560:R560)</f>
        <v>0</v>
      </c>
      <c r="T560" s="7" t="s">
        <v>750</v>
      </c>
      <c r="U560" s="96">
        <v>30</v>
      </c>
      <c r="V560" s="31">
        <f>S560*U560</f>
        <v>0</v>
      </c>
      <c r="W560" s="35">
        <f>Rate!D$10</f>
        <v>34.5</v>
      </c>
      <c r="X560" s="110">
        <f t="shared" si="132"/>
        <v>0</v>
      </c>
      <c r="Y560" s="110">
        <f t="shared" si="133"/>
        <v>0</v>
      </c>
      <c r="Z560" s="110">
        <f t="shared" si="134"/>
        <v>0</v>
      </c>
      <c r="AA560" s="110">
        <f t="shared" si="135"/>
        <v>0</v>
      </c>
      <c r="AB560" s="110">
        <f>SUM(X560:AA560)</f>
        <v>0</v>
      </c>
      <c r="AC560" s="371" t="s">
        <v>163</v>
      </c>
      <c r="AD560" s="371" t="s">
        <v>169</v>
      </c>
      <c r="AE560" s="371" t="s">
        <v>149</v>
      </c>
      <c r="AF560" s="371"/>
    </row>
    <row r="561" spans="1:32" ht="13.5" hidden="1" thickBot="1" x14ac:dyDescent="0.25">
      <c r="A561" s="14" t="str">
        <f>+IF(AB561&lt;&gt;0,"X","")</f>
        <v/>
      </c>
      <c r="B561" s="69" t="s">
        <v>576</v>
      </c>
      <c r="C561" s="15"/>
      <c r="D561" s="242"/>
      <c r="E561" s="20"/>
      <c r="F561" s="21"/>
      <c r="G561" s="85" t="s">
        <v>498</v>
      </c>
      <c r="H561" s="15" t="s">
        <v>66</v>
      </c>
      <c r="I561" s="32"/>
      <c r="J561" s="30"/>
      <c r="K561" s="30"/>
      <c r="L561" s="30"/>
      <c r="M561" s="30"/>
      <c r="N561" s="30"/>
      <c r="O561" s="30"/>
      <c r="P561" s="30"/>
      <c r="Q561" s="30"/>
      <c r="R561" s="30"/>
      <c r="S561" s="92">
        <f>SUM(I561:R561)</f>
        <v>0</v>
      </c>
      <c r="T561" s="7" t="s">
        <v>498</v>
      </c>
      <c r="U561" s="230">
        <v>0.12</v>
      </c>
      <c r="V561" s="31">
        <f>S561*U561</f>
        <v>0</v>
      </c>
      <c r="W561" s="35">
        <f>Rate!D$9</f>
        <v>38</v>
      </c>
      <c r="X561" s="110">
        <f t="shared" si="132"/>
        <v>0</v>
      </c>
      <c r="Y561" s="110">
        <f t="shared" si="133"/>
        <v>0</v>
      </c>
      <c r="Z561" s="110">
        <f t="shared" si="134"/>
        <v>0</v>
      </c>
      <c r="AA561" s="110">
        <f t="shared" si="135"/>
        <v>0</v>
      </c>
      <c r="AB561" s="110">
        <f>SUM(X561:AA561)</f>
        <v>0</v>
      </c>
      <c r="AC561" s="371" t="s">
        <v>163</v>
      </c>
      <c r="AD561" s="371" t="s">
        <v>169</v>
      </c>
      <c r="AE561" s="371" t="s">
        <v>149</v>
      </c>
      <c r="AF561" s="371"/>
    </row>
    <row r="562" spans="1:32" ht="13.5" hidden="1" thickBot="1" x14ac:dyDescent="0.25">
      <c r="A562" s="14" t="str">
        <f>+IF(AB562&lt;&gt;0,"X","")</f>
        <v/>
      </c>
      <c r="B562" s="69" t="s">
        <v>275</v>
      </c>
      <c r="C562" s="15"/>
      <c r="D562" s="242"/>
      <c r="E562" s="20"/>
      <c r="F562" s="21"/>
      <c r="G562" s="85" t="s">
        <v>602</v>
      </c>
      <c r="H562" s="15" t="s">
        <v>66</v>
      </c>
      <c r="I562" s="30"/>
      <c r="J562" s="30"/>
      <c r="K562" s="30"/>
      <c r="L562" s="30"/>
      <c r="M562" s="30"/>
      <c r="N562" s="30"/>
      <c r="O562" s="30"/>
      <c r="P562" s="30"/>
      <c r="Q562" s="30"/>
      <c r="R562" s="30"/>
      <c r="S562" s="92">
        <f>SUM(I562:R562)</f>
        <v>0</v>
      </c>
      <c r="T562" s="7" t="s">
        <v>493</v>
      </c>
      <c r="U562" s="31">
        <v>1</v>
      </c>
      <c r="V562" s="31">
        <f>S562*U562</f>
        <v>0</v>
      </c>
      <c r="W562" s="35">
        <f>Rate!D$10</f>
        <v>34.5</v>
      </c>
      <c r="X562" s="110">
        <f t="shared" si="132"/>
        <v>0</v>
      </c>
      <c r="Y562" s="110">
        <f t="shared" si="133"/>
        <v>0</v>
      </c>
      <c r="Z562" s="110">
        <f t="shared" si="134"/>
        <v>0</v>
      </c>
      <c r="AA562" s="110">
        <f t="shared" si="135"/>
        <v>0</v>
      </c>
      <c r="AB562" s="110">
        <f>SUM(X562:AA562)</f>
        <v>0</v>
      </c>
      <c r="AC562" s="371" t="s">
        <v>163</v>
      </c>
      <c r="AD562" s="371" t="s">
        <v>169</v>
      </c>
      <c r="AE562" s="371" t="s">
        <v>149</v>
      </c>
      <c r="AF562" s="371"/>
    </row>
    <row r="563" spans="1:32" ht="13.5" hidden="1" thickBot="1" x14ac:dyDescent="0.25">
      <c r="A563" s="14" t="str">
        <f>IF(SUM(AB$564:AB$565)&lt;&gt;0,"X","")</f>
        <v/>
      </c>
      <c r="B563" s="198" t="s">
        <v>276</v>
      </c>
      <c r="C563" s="200" t="s">
        <v>13</v>
      </c>
      <c r="D563" s="207"/>
      <c r="E563" s="199"/>
      <c r="F563" s="200"/>
      <c r="G563" s="200"/>
      <c r="H563" s="200"/>
      <c r="I563" s="200"/>
      <c r="J563" s="200"/>
      <c r="K563" s="200"/>
      <c r="L563" s="200"/>
      <c r="M563" s="200"/>
      <c r="N563" s="200"/>
      <c r="O563" s="200"/>
      <c r="P563" s="200"/>
      <c r="Q563" s="200"/>
      <c r="R563" s="200"/>
      <c r="S563" s="200"/>
      <c r="T563" s="200"/>
      <c r="U563" s="201"/>
      <c r="V563" s="202"/>
      <c r="W563" s="203"/>
      <c r="X563" s="204">
        <f t="shared" si="132"/>
        <v>0</v>
      </c>
      <c r="Y563" s="204">
        <f t="shared" si="133"/>
        <v>0</v>
      </c>
      <c r="Z563" s="204">
        <f t="shared" si="134"/>
        <v>0</v>
      </c>
      <c r="AA563" s="204">
        <f t="shared" si="135"/>
        <v>0</v>
      </c>
      <c r="AB563" s="205"/>
      <c r="AC563" s="369"/>
      <c r="AD563" s="369"/>
      <c r="AE563" s="369" t="s">
        <v>13</v>
      </c>
      <c r="AF563" s="369"/>
    </row>
    <row r="564" spans="1:32" ht="13.5" hidden="1" thickBot="1" x14ac:dyDescent="0.25">
      <c r="A564" s="14" t="str">
        <f t="shared" ref="A564:A565" si="139">+IF(AB564&lt;&gt;0,"X","")</f>
        <v/>
      </c>
      <c r="B564" s="70" t="s">
        <v>277</v>
      </c>
      <c r="C564" s="347"/>
      <c r="D564" s="242"/>
      <c r="E564" s="25"/>
      <c r="F564" s="26"/>
      <c r="G564" s="85" t="s">
        <v>595</v>
      </c>
      <c r="H564" s="15" t="s">
        <v>66</v>
      </c>
      <c r="I564" s="18"/>
      <c r="J564" s="307"/>
      <c r="K564" s="307"/>
      <c r="L564" s="307"/>
      <c r="M564" s="307"/>
      <c r="N564" s="307"/>
      <c r="O564" s="307"/>
      <c r="P564" s="307"/>
      <c r="Q564" s="307"/>
      <c r="R564" s="307"/>
      <c r="S564" s="121">
        <v>1</v>
      </c>
      <c r="T564" s="19" t="s">
        <v>491</v>
      </c>
      <c r="U564" s="31">
        <f>SUM(I564:R564)</f>
        <v>0</v>
      </c>
      <c r="V564" s="93">
        <f>S564*U564</f>
        <v>0</v>
      </c>
      <c r="W564" s="123">
        <f>Rate!D$10</f>
        <v>34.5</v>
      </c>
      <c r="X564" s="109">
        <f t="shared" si="132"/>
        <v>0</v>
      </c>
      <c r="Y564" s="109">
        <f t="shared" si="133"/>
        <v>0</v>
      </c>
      <c r="Z564" s="109">
        <f t="shared" si="134"/>
        <v>0</v>
      </c>
      <c r="AA564" s="109">
        <f t="shared" si="135"/>
        <v>0</v>
      </c>
      <c r="AB564" s="109">
        <f t="shared" ref="AB564" si="140">SUM(X564:AA564)</f>
        <v>0</v>
      </c>
      <c r="AC564" s="371" t="s">
        <v>163</v>
      </c>
      <c r="AD564" s="371" t="s">
        <v>154</v>
      </c>
      <c r="AE564" s="371" t="s">
        <v>149</v>
      </c>
      <c r="AF564" s="371"/>
    </row>
    <row r="565" spans="1:32" ht="13.5" hidden="1" thickBot="1" x14ac:dyDescent="0.25">
      <c r="A565" s="14" t="str">
        <f t="shared" si="139"/>
        <v/>
      </c>
      <c r="B565" s="70" t="s">
        <v>278</v>
      </c>
      <c r="C565" s="348"/>
      <c r="D565" s="242"/>
      <c r="E565" s="25"/>
      <c r="F565" s="26"/>
      <c r="G565" s="85" t="s">
        <v>594</v>
      </c>
      <c r="H565" s="28" t="s">
        <v>65</v>
      </c>
      <c r="I565" s="379"/>
      <c r="J565" s="379"/>
      <c r="K565" s="379"/>
      <c r="L565" s="379"/>
      <c r="M565" s="379"/>
      <c r="N565" s="379"/>
      <c r="O565" s="379"/>
      <c r="P565" s="379"/>
      <c r="Q565" s="379"/>
      <c r="R565" s="379"/>
      <c r="S565" s="121">
        <v>1</v>
      </c>
      <c r="T565" s="19" t="s">
        <v>491</v>
      </c>
      <c r="U565" s="31" t="s">
        <v>13</v>
      </c>
      <c r="V565" s="93" t="s">
        <v>13</v>
      </c>
      <c r="W565" s="125">
        <f>SUM(I565:R565)</f>
        <v>0</v>
      </c>
      <c r="X565" s="109">
        <f t="shared" si="132"/>
        <v>0</v>
      </c>
      <c r="Y565" s="109">
        <f t="shared" si="133"/>
        <v>0</v>
      </c>
      <c r="Z565" s="109">
        <f t="shared" si="134"/>
        <v>0</v>
      </c>
      <c r="AA565" s="109">
        <f t="shared" si="135"/>
        <v>0</v>
      </c>
      <c r="AB565" s="109">
        <f t="shared" ref="AB565" si="141">SUM(X565:AA565)</f>
        <v>0</v>
      </c>
      <c r="AC565" s="386" t="s">
        <v>163</v>
      </c>
      <c r="AD565" s="386" t="s">
        <v>154</v>
      </c>
      <c r="AE565" s="383" t="s">
        <v>13</v>
      </c>
      <c r="AF565" s="386"/>
    </row>
    <row r="566" spans="1:32" ht="13.5" hidden="1" thickBot="1" x14ac:dyDescent="0.25">
      <c r="A566" s="14" t="str">
        <f>IF(SUM(AB$567:AB$572)&lt;&gt;0,"X","")</f>
        <v/>
      </c>
      <c r="B566" s="198" t="s">
        <v>279</v>
      </c>
      <c r="C566" s="200" t="s">
        <v>13</v>
      </c>
      <c r="D566" s="207"/>
      <c r="E566" s="199"/>
      <c r="F566" s="200"/>
      <c r="G566" s="200"/>
      <c r="H566" s="200"/>
      <c r="I566" s="200"/>
      <c r="J566" s="200"/>
      <c r="K566" s="200"/>
      <c r="L566" s="200"/>
      <c r="M566" s="200"/>
      <c r="N566" s="200"/>
      <c r="O566" s="200"/>
      <c r="P566" s="200"/>
      <c r="Q566" s="200"/>
      <c r="R566" s="200"/>
      <c r="S566" s="200"/>
      <c r="T566" s="200"/>
      <c r="U566" s="201"/>
      <c r="V566" s="202"/>
      <c r="W566" s="203"/>
      <c r="X566" s="204">
        <f t="shared" si="132"/>
        <v>0</v>
      </c>
      <c r="Y566" s="204">
        <f t="shared" si="133"/>
        <v>0</v>
      </c>
      <c r="Z566" s="204">
        <f t="shared" si="134"/>
        <v>0</v>
      </c>
      <c r="AA566" s="204">
        <f t="shared" si="135"/>
        <v>0</v>
      </c>
      <c r="AB566" s="205"/>
      <c r="AC566" s="369"/>
      <c r="AD566" s="369"/>
      <c r="AE566" s="369" t="s">
        <v>13</v>
      </c>
      <c r="AF566" s="369"/>
    </row>
    <row r="567" spans="1:32" ht="13.5" hidden="1" thickBot="1" x14ac:dyDescent="0.25">
      <c r="A567" s="14" t="str">
        <f t="shared" ref="A567:A572" si="142">+IF(AB567&lt;&gt;0,"X","")</f>
        <v/>
      </c>
      <c r="B567" s="70" t="s">
        <v>259</v>
      </c>
      <c r="C567" s="347"/>
      <c r="D567" s="242"/>
      <c r="E567" s="25"/>
      <c r="F567" s="26"/>
      <c r="G567" s="85" t="s">
        <v>595</v>
      </c>
      <c r="H567" s="15" t="s">
        <v>66</v>
      </c>
      <c r="I567" s="347"/>
      <c r="J567" s="307"/>
      <c r="K567" s="307"/>
      <c r="L567" s="307"/>
      <c r="M567" s="307"/>
      <c r="N567" s="307"/>
      <c r="O567" s="307"/>
      <c r="P567" s="307"/>
      <c r="Q567" s="307"/>
      <c r="R567" s="307"/>
      <c r="S567" s="121">
        <v>1</v>
      </c>
      <c r="T567" s="19" t="s">
        <v>751</v>
      </c>
      <c r="U567" s="31">
        <f>SUM(I567:R567)</f>
        <v>0</v>
      </c>
      <c r="V567" s="93">
        <f>S567*U567</f>
        <v>0</v>
      </c>
      <c r="W567" s="123">
        <f>Rate!D$10</f>
        <v>34.5</v>
      </c>
      <c r="X567" s="109">
        <f t="shared" si="132"/>
        <v>0</v>
      </c>
      <c r="Y567" s="109">
        <f t="shared" si="133"/>
        <v>0</v>
      </c>
      <c r="Z567" s="109">
        <f t="shared" si="134"/>
        <v>0</v>
      </c>
      <c r="AA567" s="109">
        <f t="shared" si="135"/>
        <v>0</v>
      </c>
      <c r="AB567" s="109">
        <f t="shared" ref="AB567:AB572" si="143">SUM(X567:AA567)</f>
        <v>0</v>
      </c>
      <c r="AC567" s="371" t="s">
        <v>163</v>
      </c>
      <c r="AD567" s="371" t="s">
        <v>152</v>
      </c>
      <c r="AE567" s="371" t="s">
        <v>149</v>
      </c>
      <c r="AF567" s="371"/>
    </row>
    <row r="568" spans="1:32" ht="13.5" hidden="1" thickBot="1" x14ac:dyDescent="0.25">
      <c r="A568" s="14" t="str">
        <f t="shared" si="142"/>
        <v/>
      </c>
      <c r="B568" s="70" t="s">
        <v>260</v>
      </c>
      <c r="C568" s="15"/>
      <c r="D568" s="242"/>
      <c r="E568" s="25"/>
      <c r="F568" s="26"/>
      <c r="G568" s="85" t="s">
        <v>595</v>
      </c>
      <c r="H568" s="15" t="s">
        <v>66</v>
      </c>
      <c r="I568" s="18"/>
      <c r="J568" s="307"/>
      <c r="K568" s="307"/>
      <c r="L568" s="307"/>
      <c r="M568" s="307"/>
      <c r="N568" s="307"/>
      <c r="O568" s="307"/>
      <c r="P568" s="307"/>
      <c r="Q568" s="307"/>
      <c r="R568" s="307"/>
      <c r="S568" s="121">
        <v>1</v>
      </c>
      <c r="T568" s="19" t="s">
        <v>491</v>
      </c>
      <c r="U568" s="31">
        <f>SUM(I568:R568)</f>
        <v>0</v>
      </c>
      <c r="V568" s="93">
        <f>S568*U568</f>
        <v>0</v>
      </c>
      <c r="W568" s="123">
        <f>Rate!D$10</f>
        <v>34.5</v>
      </c>
      <c r="X568" s="109">
        <f t="shared" si="132"/>
        <v>0</v>
      </c>
      <c r="Y568" s="109">
        <f t="shared" si="133"/>
        <v>0</v>
      </c>
      <c r="Z568" s="109">
        <f t="shared" si="134"/>
        <v>0</v>
      </c>
      <c r="AA568" s="109">
        <f t="shared" si="135"/>
        <v>0</v>
      </c>
      <c r="AB568" s="109">
        <f t="shared" ref="AB568" si="144">SUM(X568:AA568)</f>
        <v>0</v>
      </c>
      <c r="AC568" s="371" t="s">
        <v>163</v>
      </c>
      <c r="AD568" s="371" t="s">
        <v>152</v>
      </c>
      <c r="AE568" s="371" t="s">
        <v>149</v>
      </c>
      <c r="AF568" s="371"/>
    </row>
    <row r="569" spans="1:32" ht="13.5" hidden="1" thickBot="1" x14ac:dyDescent="0.25">
      <c r="A569" s="14" t="str">
        <f t="shared" si="142"/>
        <v/>
      </c>
      <c r="B569" s="70" t="s">
        <v>261</v>
      </c>
      <c r="C569" s="15"/>
      <c r="D569" s="349">
        <f>Z569/E569</f>
        <v>0</v>
      </c>
      <c r="E569" s="248">
        <v>150</v>
      </c>
      <c r="F569" s="21"/>
      <c r="G569" s="85" t="s">
        <v>603</v>
      </c>
      <c r="H569" s="15" t="s">
        <v>67</v>
      </c>
      <c r="I569" s="18"/>
      <c r="J569" s="307"/>
      <c r="K569" s="307"/>
      <c r="L569" s="307"/>
      <c r="M569" s="307"/>
      <c r="N569" s="307"/>
      <c r="O569" s="307"/>
      <c r="P569" s="307"/>
      <c r="Q569" s="307"/>
      <c r="R569" s="307"/>
      <c r="S569" s="121">
        <f>SUM(I569:R569)</f>
        <v>0</v>
      </c>
      <c r="T569" s="19" t="s">
        <v>508</v>
      </c>
      <c r="U569" s="31">
        <v>0</v>
      </c>
      <c r="V569" s="93">
        <v>0</v>
      </c>
      <c r="W569" s="120">
        <f>E569</f>
        <v>150</v>
      </c>
      <c r="X569" s="110">
        <f t="shared" si="132"/>
        <v>0</v>
      </c>
      <c r="Y569" s="110">
        <f t="shared" si="133"/>
        <v>0</v>
      </c>
      <c r="Z569" s="109">
        <f t="shared" si="134"/>
        <v>0</v>
      </c>
      <c r="AA569" s="110">
        <f t="shared" si="135"/>
        <v>0</v>
      </c>
      <c r="AB569" s="110">
        <f>SUM(X569:AA569)</f>
        <v>0</v>
      </c>
      <c r="AC569" s="371" t="s">
        <v>163</v>
      </c>
      <c r="AD569" s="371" t="s">
        <v>152</v>
      </c>
      <c r="AE569" s="371" t="s">
        <v>482</v>
      </c>
      <c r="AF569" s="371"/>
    </row>
    <row r="570" spans="1:32" ht="13.5" hidden="1" thickBot="1" x14ac:dyDescent="0.25">
      <c r="A570" s="14" t="str">
        <f t="shared" si="142"/>
        <v/>
      </c>
      <c r="B570" s="70" t="s">
        <v>262</v>
      </c>
      <c r="C570" s="15"/>
      <c r="D570" s="349">
        <f>Z570/E570</f>
        <v>0</v>
      </c>
      <c r="E570" s="248">
        <v>125</v>
      </c>
      <c r="F570" s="21"/>
      <c r="G570" s="85" t="s">
        <v>603</v>
      </c>
      <c r="H570" s="15" t="s">
        <v>67</v>
      </c>
      <c r="I570" s="18"/>
      <c r="J570" s="307"/>
      <c r="K570" s="307"/>
      <c r="L570" s="307"/>
      <c r="M570" s="307"/>
      <c r="N570" s="307"/>
      <c r="O570" s="307"/>
      <c r="P570" s="307"/>
      <c r="Q570" s="307"/>
      <c r="R570" s="307"/>
      <c r="S570" s="121">
        <f>SUM(I570:R570)</f>
        <v>0</v>
      </c>
      <c r="T570" s="19" t="s">
        <v>508</v>
      </c>
      <c r="U570" s="31">
        <v>0</v>
      </c>
      <c r="V570" s="93">
        <v>0</v>
      </c>
      <c r="W570" s="120">
        <f>E570</f>
        <v>125</v>
      </c>
      <c r="X570" s="110">
        <f t="shared" si="132"/>
        <v>0</v>
      </c>
      <c r="Y570" s="110">
        <f t="shared" si="133"/>
        <v>0</v>
      </c>
      <c r="Z570" s="109">
        <f t="shared" si="134"/>
        <v>0</v>
      </c>
      <c r="AA570" s="110">
        <f t="shared" si="135"/>
        <v>0</v>
      </c>
      <c r="AB570" s="110">
        <f>SUM(X570:AA570)</f>
        <v>0</v>
      </c>
      <c r="AC570" s="371" t="s">
        <v>163</v>
      </c>
      <c r="AD570" s="371" t="s">
        <v>152</v>
      </c>
      <c r="AE570" s="371" t="s">
        <v>482</v>
      </c>
      <c r="AF570" s="371"/>
    </row>
    <row r="571" spans="1:32" ht="13.5" hidden="1" thickBot="1" x14ac:dyDescent="0.25">
      <c r="A571" s="14" t="str">
        <f t="shared" si="142"/>
        <v/>
      </c>
      <c r="B571" s="70" t="s">
        <v>263</v>
      </c>
      <c r="C571" s="15"/>
      <c r="D571" s="242"/>
      <c r="E571" s="25"/>
      <c r="F571" s="21"/>
      <c r="G571" s="85" t="s">
        <v>594</v>
      </c>
      <c r="H571" s="28" t="s">
        <v>65</v>
      </c>
      <c r="I571" s="379"/>
      <c r="J571" s="379"/>
      <c r="K571" s="379"/>
      <c r="L571" s="379"/>
      <c r="M571" s="379"/>
      <c r="N571" s="379"/>
      <c r="O571" s="379"/>
      <c r="P571" s="379"/>
      <c r="Q571" s="379"/>
      <c r="R571" s="379"/>
      <c r="S571" s="121">
        <v>1</v>
      </c>
      <c r="T571" s="19" t="s">
        <v>491</v>
      </c>
      <c r="U571" s="31">
        <v>0</v>
      </c>
      <c r="V571" s="93">
        <v>0</v>
      </c>
      <c r="W571" s="125">
        <f>SUM(I571:R571)</f>
        <v>0</v>
      </c>
      <c r="X571" s="109">
        <f t="shared" si="132"/>
        <v>0</v>
      </c>
      <c r="Y571" s="109">
        <f t="shared" si="133"/>
        <v>0</v>
      </c>
      <c r="Z571" s="109">
        <f t="shared" si="134"/>
        <v>0</v>
      </c>
      <c r="AA571" s="109">
        <f t="shared" si="135"/>
        <v>0</v>
      </c>
      <c r="AB571" s="109">
        <f t="shared" si="143"/>
        <v>0</v>
      </c>
      <c r="AC571" s="386" t="s">
        <v>163</v>
      </c>
      <c r="AD571" s="386" t="s">
        <v>152</v>
      </c>
      <c r="AE571" s="383" t="s">
        <v>13</v>
      </c>
      <c r="AF571" s="386"/>
    </row>
    <row r="572" spans="1:32" ht="13.5" hidden="1" thickBot="1" x14ac:dyDescent="0.25">
      <c r="A572" s="14" t="str">
        <f t="shared" si="142"/>
        <v/>
      </c>
      <c r="B572" s="69" t="s">
        <v>252</v>
      </c>
      <c r="C572" s="348"/>
      <c r="D572" s="349">
        <f>Z572/E572</f>
        <v>0</v>
      </c>
      <c r="E572" s="248">
        <v>200</v>
      </c>
      <c r="G572" s="85" t="s">
        <v>603</v>
      </c>
      <c r="H572" s="15" t="s">
        <v>67</v>
      </c>
      <c r="I572" s="381"/>
      <c r="J572" s="381"/>
      <c r="K572" s="381"/>
      <c r="L572" s="381"/>
      <c r="M572" s="381"/>
      <c r="N572" s="381"/>
      <c r="O572" s="381"/>
      <c r="P572" s="381"/>
      <c r="Q572" s="381"/>
      <c r="R572" s="381"/>
      <c r="S572" s="7">
        <v>1</v>
      </c>
      <c r="T572" s="7" t="s">
        <v>491</v>
      </c>
      <c r="U572" s="31">
        <v>0</v>
      </c>
      <c r="V572" s="31">
        <v>0</v>
      </c>
      <c r="W572" s="124">
        <f>SUM(I572:R572)</f>
        <v>0</v>
      </c>
      <c r="X572" s="110">
        <f t="shared" si="132"/>
        <v>0</v>
      </c>
      <c r="Y572" s="110">
        <f t="shared" si="133"/>
        <v>0</v>
      </c>
      <c r="Z572" s="114">
        <f t="shared" si="134"/>
        <v>0</v>
      </c>
      <c r="AA572" s="110">
        <f t="shared" si="135"/>
        <v>0</v>
      </c>
      <c r="AB572" s="114">
        <f t="shared" si="143"/>
        <v>0</v>
      </c>
      <c r="AC572" s="371" t="s">
        <v>163</v>
      </c>
      <c r="AD572" s="371" t="s">
        <v>152</v>
      </c>
      <c r="AE572" s="371" t="s">
        <v>482</v>
      </c>
      <c r="AF572" s="371"/>
    </row>
    <row r="573" spans="1:32" ht="13.5" thickBot="1" x14ac:dyDescent="0.25">
      <c r="A573" s="14" t="str">
        <f>IF(SUM(AB574:AB576)&lt;&gt;0,"X","")</f>
        <v>X</v>
      </c>
      <c r="B573" s="198" t="s">
        <v>253</v>
      </c>
      <c r="C573" s="200" t="s">
        <v>13</v>
      </c>
      <c r="D573" s="207"/>
      <c r="E573" s="199"/>
      <c r="F573" s="200"/>
      <c r="G573" s="200"/>
      <c r="H573" s="200"/>
      <c r="I573" s="200"/>
      <c r="J573" s="200"/>
      <c r="K573" s="200"/>
      <c r="L573" s="200"/>
      <c r="M573" s="200"/>
      <c r="N573" s="200"/>
      <c r="O573" s="200"/>
      <c r="P573" s="200"/>
      <c r="Q573" s="200"/>
      <c r="R573" s="200"/>
      <c r="S573" s="200"/>
      <c r="T573" s="200"/>
      <c r="U573" s="201"/>
      <c r="V573" s="202"/>
      <c r="W573" s="203"/>
      <c r="X573" s="204">
        <f t="shared" si="132"/>
        <v>0</v>
      </c>
      <c r="Y573" s="204">
        <f t="shared" si="133"/>
        <v>0</v>
      </c>
      <c r="Z573" s="204">
        <f t="shared" si="134"/>
        <v>0</v>
      </c>
      <c r="AA573" s="204">
        <f t="shared" si="135"/>
        <v>0</v>
      </c>
      <c r="AB573" s="205"/>
      <c r="AC573" s="369"/>
      <c r="AD573" s="369"/>
      <c r="AE573" s="369" t="s">
        <v>13</v>
      </c>
      <c r="AF573" s="369"/>
    </row>
    <row r="574" spans="1:32" ht="13.5" thickBot="1" x14ac:dyDescent="0.25">
      <c r="A574" s="14" t="str">
        <f>+IF(AB574&lt;&gt;0,"X","")</f>
        <v>X</v>
      </c>
      <c r="B574" s="70" t="s">
        <v>254</v>
      </c>
      <c r="C574" s="15" t="s">
        <v>797</v>
      </c>
      <c r="D574" s="242"/>
      <c r="E574" s="25"/>
      <c r="F574" s="26"/>
      <c r="G574" s="85" t="s">
        <v>594</v>
      </c>
      <c r="H574" s="28" t="s">
        <v>65</v>
      </c>
      <c r="I574" s="379">
        <v>1500</v>
      </c>
      <c r="J574" s="379"/>
      <c r="K574" s="379"/>
      <c r="L574" s="379"/>
      <c r="M574" s="379"/>
      <c r="N574" s="379"/>
      <c r="O574" s="379"/>
      <c r="P574" s="379"/>
      <c r="Q574" s="379"/>
      <c r="R574" s="379"/>
      <c r="S574" s="19">
        <v>1</v>
      </c>
      <c r="T574" s="19" t="s">
        <v>491</v>
      </c>
      <c r="U574" s="31" t="s">
        <v>13</v>
      </c>
      <c r="V574" s="93" t="s">
        <v>13</v>
      </c>
      <c r="W574" s="125">
        <f>SUM(I574:R574)</f>
        <v>1500</v>
      </c>
      <c r="X574" s="109">
        <f t="shared" si="132"/>
        <v>0</v>
      </c>
      <c r="Y574" s="115">
        <f t="shared" si="133"/>
        <v>1500</v>
      </c>
      <c r="Z574" s="109">
        <f t="shared" si="134"/>
        <v>0</v>
      </c>
      <c r="AA574" s="109">
        <f t="shared" si="135"/>
        <v>0</v>
      </c>
      <c r="AB574" s="109">
        <f t="shared" ref="AB574:AB579" si="145">SUM(X574:AA574)</f>
        <v>1500</v>
      </c>
      <c r="AC574" s="386" t="s">
        <v>163</v>
      </c>
      <c r="AD574" s="386" t="s">
        <v>148</v>
      </c>
      <c r="AE574" s="383" t="s">
        <v>13</v>
      </c>
      <c r="AF574" s="386"/>
    </row>
    <row r="575" spans="1:32" ht="13.5" hidden="1" thickBot="1" x14ac:dyDescent="0.25">
      <c r="A575" s="14" t="str">
        <f>+IF(AB575&lt;&gt;0,"X","")</f>
        <v/>
      </c>
      <c r="B575" s="69" t="s">
        <v>255</v>
      </c>
      <c r="C575" s="15"/>
      <c r="D575" s="242"/>
      <c r="E575" s="20"/>
      <c r="F575" s="21"/>
      <c r="G575" s="85" t="s">
        <v>594</v>
      </c>
      <c r="H575" s="28" t="s">
        <v>65</v>
      </c>
      <c r="I575" s="379"/>
      <c r="J575" s="379"/>
      <c r="K575" s="379"/>
      <c r="L575" s="379"/>
      <c r="M575" s="379"/>
      <c r="N575" s="379"/>
      <c r="O575" s="379"/>
      <c r="P575" s="379"/>
      <c r="Q575" s="379"/>
      <c r="R575" s="379"/>
      <c r="S575" s="7">
        <v>1</v>
      </c>
      <c r="T575" s="7" t="s">
        <v>491</v>
      </c>
      <c r="U575" s="31" t="s">
        <v>13</v>
      </c>
      <c r="V575" s="31" t="s">
        <v>13</v>
      </c>
      <c r="W575" s="78">
        <f>SUM(I575:R575)</f>
        <v>0</v>
      </c>
      <c r="X575" s="110">
        <f t="shared" si="132"/>
        <v>0</v>
      </c>
      <c r="Y575" s="114">
        <f t="shared" si="133"/>
        <v>0</v>
      </c>
      <c r="Z575" s="110">
        <f t="shared" si="134"/>
        <v>0</v>
      </c>
      <c r="AA575" s="110">
        <f t="shared" si="135"/>
        <v>0</v>
      </c>
      <c r="AB575" s="110">
        <f t="shared" si="145"/>
        <v>0</v>
      </c>
      <c r="AC575" s="386" t="s">
        <v>163</v>
      </c>
      <c r="AD575" s="386" t="s">
        <v>148</v>
      </c>
      <c r="AE575" s="383" t="s">
        <v>13</v>
      </c>
      <c r="AF575" s="386"/>
    </row>
    <row r="576" spans="1:32" ht="13.5" hidden="1" thickBot="1" x14ac:dyDescent="0.25">
      <c r="A576" s="14" t="str">
        <f>+IF(AB576&lt;&gt;0,"X","")</f>
        <v/>
      </c>
      <c r="B576" s="69" t="s">
        <v>256</v>
      </c>
      <c r="C576" s="15"/>
      <c r="D576" s="242"/>
      <c r="E576" s="20"/>
      <c r="F576" s="21"/>
      <c r="G576" s="85" t="s">
        <v>594</v>
      </c>
      <c r="H576" s="28" t="s">
        <v>65</v>
      </c>
      <c r="I576" s="379"/>
      <c r="J576" s="379"/>
      <c r="K576" s="379"/>
      <c r="L576" s="379"/>
      <c r="M576" s="379"/>
      <c r="N576" s="379"/>
      <c r="O576" s="379"/>
      <c r="P576" s="379"/>
      <c r="Q576" s="379"/>
      <c r="R576" s="379"/>
      <c r="S576" s="7">
        <v>1</v>
      </c>
      <c r="T576" s="7" t="s">
        <v>491</v>
      </c>
      <c r="U576" s="31" t="s">
        <v>13</v>
      </c>
      <c r="V576" s="31" t="s">
        <v>13</v>
      </c>
      <c r="W576" s="78">
        <f>SUM(I576:R576)</f>
        <v>0</v>
      </c>
      <c r="X576" s="110">
        <f t="shared" si="132"/>
        <v>0</v>
      </c>
      <c r="Y576" s="110">
        <f t="shared" si="133"/>
        <v>0</v>
      </c>
      <c r="Z576" s="110">
        <f t="shared" si="134"/>
        <v>0</v>
      </c>
      <c r="AA576" s="110">
        <f t="shared" si="135"/>
        <v>0</v>
      </c>
      <c r="AB576" s="110">
        <f>SUM(X576:AA576)</f>
        <v>0</v>
      </c>
      <c r="AC576" s="386" t="s">
        <v>163</v>
      </c>
      <c r="AD576" s="386" t="s">
        <v>148</v>
      </c>
      <c r="AE576" s="383" t="s">
        <v>13</v>
      </c>
      <c r="AF576" s="386"/>
    </row>
    <row r="577" spans="1:32" ht="13.5" hidden="1" thickBot="1" x14ac:dyDescent="0.25">
      <c r="A577" s="14" t="str">
        <f>IF(SUM(AB578:AB580)&lt;&gt;0,"X","")</f>
        <v/>
      </c>
      <c r="B577" s="198" t="s">
        <v>257</v>
      </c>
      <c r="C577" s="200" t="s">
        <v>13</v>
      </c>
      <c r="D577" s="207"/>
      <c r="E577" s="199"/>
      <c r="F577" s="200"/>
      <c r="G577" s="200"/>
      <c r="H577" s="200"/>
      <c r="I577" s="200"/>
      <c r="J577" s="200"/>
      <c r="K577" s="200"/>
      <c r="L577" s="200"/>
      <c r="M577" s="200"/>
      <c r="N577" s="200"/>
      <c r="O577" s="200"/>
      <c r="P577" s="200"/>
      <c r="Q577" s="200"/>
      <c r="R577" s="200"/>
      <c r="S577" s="200"/>
      <c r="T577" s="200"/>
      <c r="U577" s="201"/>
      <c r="V577" s="202"/>
      <c r="W577" s="203"/>
      <c r="X577" s="204">
        <f t="shared" si="132"/>
        <v>0</v>
      </c>
      <c r="Y577" s="204">
        <f t="shared" si="133"/>
        <v>0</v>
      </c>
      <c r="Z577" s="204">
        <f t="shared" si="134"/>
        <v>0</v>
      </c>
      <c r="AA577" s="204">
        <f t="shared" si="135"/>
        <v>0</v>
      </c>
      <c r="AB577" s="205"/>
      <c r="AC577" s="369"/>
      <c r="AD577" s="369"/>
      <c r="AE577" s="369" t="s">
        <v>13</v>
      </c>
      <c r="AF577" s="369"/>
    </row>
    <row r="578" spans="1:32" ht="13.5" hidden="1" thickBot="1" x14ac:dyDescent="0.25">
      <c r="A578" s="14" t="str">
        <f>+IF(AB578&lt;&gt;0,"X","")</f>
        <v/>
      </c>
      <c r="B578" s="69" t="s">
        <v>249</v>
      </c>
      <c r="C578" s="15"/>
      <c r="D578" s="242"/>
      <c r="E578" s="20"/>
      <c r="F578" s="21"/>
      <c r="G578" s="85" t="s">
        <v>594</v>
      </c>
      <c r="H578" s="28" t="s">
        <v>65</v>
      </c>
      <c r="I578" s="379"/>
      <c r="J578" s="379"/>
      <c r="K578" s="379"/>
      <c r="L578" s="379"/>
      <c r="M578" s="379"/>
      <c r="N578" s="379"/>
      <c r="O578" s="379"/>
      <c r="P578" s="379"/>
      <c r="Q578" s="379"/>
      <c r="R578" s="379"/>
      <c r="S578" s="7">
        <v>1</v>
      </c>
      <c r="T578" s="7" t="s">
        <v>491</v>
      </c>
      <c r="U578" s="31" t="s">
        <v>13</v>
      </c>
      <c r="V578" s="31" t="s">
        <v>13</v>
      </c>
      <c r="W578" s="78">
        <f>SUM(I578:R578)</f>
        <v>0</v>
      </c>
      <c r="X578" s="110">
        <f t="shared" si="132"/>
        <v>0</v>
      </c>
      <c r="Y578" s="110">
        <f t="shared" si="133"/>
        <v>0</v>
      </c>
      <c r="Z578" s="110">
        <f t="shared" si="134"/>
        <v>0</v>
      </c>
      <c r="AA578" s="110">
        <f t="shared" si="135"/>
        <v>0</v>
      </c>
      <c r="AB578" s="110">
        <f t="shared" si="145"/>
        <v>0</v>
      </c>
      <c r="AC578" s="386" t="s">
        <v>163</v>
      </c>
      <c r="AD578" s="386" t="s">
        <v>148</v>
      </c>
      <c r="AE578" s="383" t="s">
        <v>13</v>
      </c>
      <c r="AF578" s="386"/>
    </row>
    <row r="579" spans="1:32" ht="13.5" hidden="1" thickBot="1" x14ac:dyDescent="0.25">
      <c r="A579" s="14" t="str">
        <f>+IF(AB579&lt;&gt;0,"X","")</f>
        <v/>
      </c>
      <c r="B579" s="69" t="s">
        <v>250</v>
      </c>
      <c r="C579" s="15"/>
      <c r="D579" s="241"/>
      <c r="E579" s="20"/>
      <c r="F579" s="21"/>
      <c r="G579" s="85" t="s">
        <v>594</v>
      </c>
      <c r="H579" s="380" t="s">
        <v>65</v>
      </c>
      <c r="I579" s="379"/>
      <c r="J579" s="379"/>
      <c r="K579" s="379"/>
      <c r="L579" s="379"/>
      <c r="M579" s="379"/>
      <c r="N579" s="379"/>
      <c r="O579" s="379"/>
      <c r="P579" s="379"/>
      <c r="Q579" s="379"/>
      <c r="R579" s="379"/>
      <c r="S579" s="7">
        <v>1</v>
      </c>
      <c r="T579" s="7" t="s">
        <v>491</v>
      </c>
      <c r="U579" s="31" t="s">
        <v>13</v>
      </c>
      <c r="V579" s="31" t="s">
        <v>13</v>
      </c>
      <c r="W579" s="78">
        <f>SUM(I579:R579)</f>
        <v>0</v>
      </c>
      <c r="X579" s="110">
        <f t="shared" ref="X579:X610" si="146">IF(H579="L",V579*W579,0)</f>
        <v>0</v>
      </c>
      <c r="Y579" s="110">
        <f t="shared" ref="Y579:Y610" si="147">IF(H579="M",S579*W579,0)</f>
        <v>0</v>
      </c>
      <c r="Z579" s="110">
        <f t="shared" ref="Z579:Z610" si="148">IF(H579="S",S579*W579,0)</f>
        <v>0</v>
      </c>
      <c r="AA579" s="110">
        <f t="shared" ref="AA579:AA610" si="149">IF(H579="E",G579*S579*W579,0)</f>
        <v>0</v>
      </c>
      <c r="AB579" s="110">
        <f t="shared" si="145"/>
        <v>0</v>
      </c>
      <c r="AC579" s="382" t="s">
        <v>163</v>
      </c>
      <c r="AD579" s="382" t="s">
        <v>148</v>
      </c>
      <c r="AE579" s="383" t="s">
        <v>13</v>
      </c>
      <c r="AF579" s="382"/>
    </row>
    <row r="580" spans="1:32" ht="13.5" hidden="1" thickBot="1" x14ac:dyDescent="0.25">
      <c r="A580" s="14" t="str">
        <f>+IF(AB580&lt;&gt;0,"X","")</f>
        <v/>
      </c>
      <c r="B580" s="69" t="s">
        <v>251</v>
      </c>
      <c r="C580" s="15"/>
      <c r="D580" s="242"/>
      <c r="E580" s="20"/>
      <c r="F580" s="21"/>
      <c r="G580" s="85" t="s">
        <v>595</v>
      </c>
      <c r="H580" s="15" t="s">
        <v>66</v>
      </c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88">
        <v>1</v>
      </c>
      <c r="T580" s="19" t="s">
        <v>491</v>
      </c>
      <c r="U580" s="31">
        <f>SUM(I580:R580)</f>
        <v>0</v>
      </c>
      <c r="V580" s="31">
        <f>S580*U580</f>
        <v>0</v>
      </c>
      <c r="W580" s="35">
        <f>Rate!D$3</f>
        <v>34.5</v>
      </c>
      <c r="X580" s="110">
        <f t="shared" si="146"/>
        <v>0</v>
      </c>
      <c r="Y580" s="110">
        <f t="shared" si="147"/>
        <v>0</v>
      </c>
      <c r="Z580" s="110">
        <f t="shared" si="148"/>
        <v>0</v>
      </c>
      <c r="AA580" s="110">
        <f t="shared" si="149"/>
        <v>0</v>
      </c>
      <c r="AB580" s="110">
        <f>SUM(X580:AA580)</f>
        <v>0</v>
      </c>
      <c r="AC580" s="371" t="s">
        <v>163</v>
      </c>
      <c r="AD580" s="371" t="s">
        <v>148</v>
      </c>
      <c r="AE580" s="371" t="s">
        <v>149</v>
      </c>
      <c r="AF580" s="371"/>
    </row>
    <row r="581" spans="1:32" ht="13.5" thickBot="1" x14ac:dyDescent="0.25">
      <c r="A581" s="14" t="str">
        <f>IF(SUM(AB582:AB611)&lt;&gt;0,"X","")</f>
        <v>X</v>
      </c>
      <c r="B581" s="198" t="s">
        <v>258</v>
      </c>
      <c r="C581" s="200" t="s">
        <v>13</v>
      </c>
      <c r="D581" s="207"/>
      <c r="E581" s="199"/>
      <c r="F581" s="200"/>
      <c r="G581" s="200"/>
      <c r="H581" s="200"/>
      <c r="I581" s="200"/>
      <c r="J581" s="200"/>
      <c r="K581" s="200"/>
      <c r="L581" s="200"/>
      <c r="M581" s="200"/>
      <c r="N581" s="200"/>
      <c r="O581" s="200"/>
      <c r="P581" s="200"/>
      <c r="Q581" s="200"/>
      <c r="R581" s="200"/>
      <c r="S581" s="200"/>
      <c r="T581" s="200"/>
      <c r="U581" s="201"/>
      <c r="V581" s="202"/>
      <c r="W581" s="203"/>
      <c r="X581" s="204">
        <f t="shared" si="146"/>
        <v>0</v>
      </c>
      <c r="Y581" s="204">
        <f t="shared" si="147"/>
        <v>0</v>
      </c>
      <c r="Z581" s="204">
        <f t="shared" si="148"/>
        <v>0</v>
      </c>
      <c r="AA581" s="204">
        <f t="shared" si="149"/>
        <v>0</v>
      </c>
      <c r="AB581" s="205"/>
      <c r="AC581" s="369"/>
      <c r="AD581" s="369"/>
      <c r="AE581" s="369" t="s">
        <v>13</v>
      </c>
      <c r="AF581" s="369"/>
    </row>
    <row r="582" spans="1:32" hidden="1" x14ac:dyDescent="0.2">
      <c r="A582" s="14" t="str">
        <f t="shared" ref="A582:A611" si="150">+IF(AB582&lt;&gt;0,"X","")</f>
        <v/>
      </c>
      <c r="B582" s="70" t="s">
        <v>212</v>
      </c>
      <c r="C582" s="347"/>
      <c r="D582" s="242"/>
      <c r="E582" s="25"/>
      <c r="F582" s="26"/>
      <c r="G582" s="85" t="s">
        <v>595</v>
      </c>
      <c r="H582" s="15" t="s">
        <v>66</v>
      </c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88">
        <v>1</v>
      </c>
      <c r="T582" s="19" t="s">
        <v>491</v>
      </c>
      <c r="U582" s="31">
        <f>SUM(I582:R582)</f>
        <v>0</v>
      </c>
      <c r="V582" s="93">
        <f>S582*U582</f>
        <v>0</v>
      </c>
      <c r="W582" s="123">
        <f>Rate!D$3</f>
        <v>34.5</v>
      </c>
      <c r="X582" s="109">
        <f t="shared" si="146"/>
        <v>0</v>
      </c>
      <c r="Y582" s="109">
        <f t="shared" si="147"/>
        <v>0</v>
      </c>
      <c r="Z582" s="109">
        <f t="shared" si="148"/>
        <v>0</v>
      </c>
      <c r="AA582" s="109">
        <f t="shared" si="149"/>
        <v>0</v>
      </c>
      <c r="AB582" s="109">
        <f t="shared" ref="AB582:AB600" si="151">SUM(X582:AA582)</f>
        <v>0</v>
      </c>
      <c r="AC582" s="371" t="s">
        <v>163</v>
      </c>
      <c r="AD582" s="371" t="s">
        <v>148</v>
      </c>
      <c r="AE582" s="371" t="s">
        <v>149</v>
      </c>
      <c r="AF582" s="371"/>
    </row>
    <row r="583" spans="1:32" hidden="1" x14ac:dyDescent="0.2">
      <c r="A583" s="14" t="str">
        <f t="shared" si="150"/>
        <v/>
      </c>
      <c r="B583" s="69" t="s">
        <v>213</v>
      </c>
      <c r="C583" s="15"/>
      <c r="D583" s="242"/>
      <c r="E583" s="20"/>
      <c r="F583" s="21"/>
      <c r="G583" s="85" t="s">
        <v>604</v>
      </c>
      <c r="H583" s="15" t="s">
        <v>66</v>
      </c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7">
        <f>SUM(I583:R583)</f>
        <v>0</v>
      </c>
      <c r="T583" s="7" t="s">
        <v>494</v>
      </c>
      <c r="U583" s="230">
        <v>0.1</v>
      </c>
      <c r="V583" s="31">
        <f>S583*U583</f>
        <v>0</v>
      </c>
      <c r="W583" s="35">
        <f>Rate!D$3</f>
        <v>34.5</v>
      </c>
      <c r="X583" s="110">
        <f t="shared" si="146"/>
        <v>0</v>
      </c>
      <c r="Y583" s="110">
        <f t="shared" si="147"/>
        <v>0</v>
      </c>
      <c r="Z583" s="110">
        <f t="shared" si="148"/>
        <v>0</v>
      </c>
      <c r="AA583" s="110">
        <f t="shared" si="149"/>
        <v>0</v>
      </c>
      <c r="AB583" s="110">
        <f t="shared" si="151"/>
        <v>0</v>
      </c>
      <c r="AC583" s="371" t="s">
        <v>163</v>
      </c>
      <c r="AD583" s="371" t="s">
        <v>148</v>
      </c>
      <c r="AE583" s="371" t="s">
        <v>149</v>
      </c>
      <c r="AF583" s="371"/>
    </row>
    <row r="584" spans="1:32" hidden="1" x14ac:dyDescent="0.2">
      <c r="A584" s="14" t="str">
        <f t="shared" si="150"/>
        <v/>
      </c>
      <c r="B584" s="69" t="s">
        <v>214</v>
      </c>
      <c r="C584" s="350"/>
      <c r="D584" s="243"/>
      <c r="E584" s="20"/>
      <c r="F584" s="21"/>
      <c r="G584" s="85" t="s">
        <v>594</v>
      </c>
      <c r="H584" s="384" t="s">
        <v>65</v>
      </c>
      <c r="I584" s="379"/>
      <c r="J584" s="379"/>
      <c r="K584" s="379"/>
      <c r="L584" s="379"/>
      <c r="M584" s="379"/>
      <c r="N584" s="379"/>
      <c r="O584" s="379"/>
      <c r="P584" s="379"/>
      <c r="Q584" s="379"/>
      <c r="R584" s="379"/>
      <c r="S584" s="7">
        <v>1</v>
      </c>
      <c r="T584" s="7" t="s">
        <v>491</v>
      </c>
      <c r="U584" s="31"/>
      <c r="V584" s="31"/>
      <c r="W584" s="78">
        <f>SUM(I584:R584)</f>
        <v>0</v>
      </c>
      <c r="X584" s="110">
        <f t="shared" si="146"/>
        <v>0</v>
      </c>
      <c r="Y584" s="110">
        <f t="shared" si="147"/>
        <v>0</v>
      </c>
      <c r="Z584" s="110">
        <f t="shared" si="148"/>
        <v>0</v>
      </c>
      <c r="AA584" s="110">
        <f t="shared" si="149"/>
        <v>0</v>
      </c>
      <c r="AB584" s="110">
        <f>SUM(X584:AA584)</f>
        <v>0</v>
      </c>
      <c r="AC584" s="385" t="s">
        <v>163</v>
      </c>
      <c r="AD584" s="385" t="s">
        <v>148</v>
      </c>
      <c r="AE584" s="383" t="s">
        <v>13</v>
      </c>
      <c r="AF584" s="385"/>
    </row>
    <row r="585" spans="1:32" hidden="1" x14ac:dyDescent="0.2">
      <c r="A585" s="14" t="str">
        <f t="shared" si="150"/>
        <v/>
      </c>
      <c r="B585" s="69" t="s">
        <v>215</v>
      </c>
      <c r="C585" s="15"/>
      <c r="D585" s="242"/>
      <c r="E585" s="20"/>
      <c r="F585" s="21"/>
      <c r="G585" s="85" t="s">
        <v>605</v>
      </c>
      <c r="H585" s="15" t="s">
        <v>66</v>
      </c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88">
        <f>SUM(I585:R585)</f>
        <v>0</v>
      </c>
      <c r="T585" s="7" t="s">
        <v>493</v>
      </c>
      <c r="U585" s="31">
        <v>20</v>
      </c>
      <c r="V585" s="31">
        <f t="shared" ref="V585:V593" si="152">S585*U585</f>
        <v>0</v>
      </c>
      <c r="W585" s="35">
        <f>Rate!D40</f>
        <v>50</v>
      </c>
      <c r="X585" s="110">
        <f t="shared" si="146"/>
        <v>0</v>
      </c>
      <c r="Y585" s="110">
        <f t="shared" si="147"/>
        <v>0</v>
      </c>
      <c r="Z585" s="110">
        <f t="shared" si="148"/>
        <v>0</v>
      </c>
      <c r="AA585" s="110">
        <f t="shared" si="149"/>
        <v>0</v>
      </c>
      <c r="AB585" s="110">
        <f t="shared" si="151"/>
        <v>0</v>
      </c>
      <c r="AC585" s="371" t="s">
        <v>163</v>
      </c>
      <c r="AD585" s="371" t="s">
        <v>148</v>
      </c>
      <c r="AE585" s="371" t="s">
        <v>149</v>
      </c>
      <c r="AF585" s="371"/>
    </row>
    <row r="586" spans="1:32" hidden="1" x14ac:dyDescent="0.2">
      <c r="A586" s="14" t="str">
        <f t="shared" si="150"/>
        <v/>
      </c>
      <c r="B586" s="69" t="s">
        <v>216</v>
      </c>
      <c r="C586" s="15"/>
      <c r="D586" s="242"/>
      <c r="E586" s="20"/>
      <c r="F586" s="21"/>
      <c r="G586" s="85" t="s">
        <v>605</v>
      </c>
      <c r="H586" s="15" t="s">
        <v>66</v>
      </c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88">
        <f>SUM(I586:R586)</f>
        <v>0</v>
      </c>
      <c r="T586" s="7" t="s">
        <v>493</v>
      </c>
      <c r="U586" s="31">
        <v>0.5</v>
      </c>
      <c r="V586" s="31">
        <f t="shared" si="152"/>
        <v>0</v>
      </c>
      <c r="W586" s="35">
        <f>Rate!D$3</f>
        <v>34.5</v>
      </c>
      <c r="X586" s="110">
        <f t="shared" si="146"/>
        <v>0</v>
      </c>
      <c r="Y586" s="110">
        <f t="shared" si="147"/>
        <v>0</v>
      </c>
      <c r="Z586" s="110">
        <f t="shared" si="148"/>
        <v>0</v>
      </c>
      <c r="AA586" s="110">
        <f t="shared" si="149"/>
        <v>0</v>
      </c>
      <c r="AB586" s="110">
        <f t="shared" si="151"/>
        <v>0</v>
      </c>
      <c r="AC586" s="371" t="s">
        <v>163</v>
      </c>
      <c r="AD586" s="371" t="s">
        <v>148</v>
      </c>
      <c r="AE586" s="371" t="s">
        <v>149</v>
      </c>
      <c r="AF586" s="371"/>
    </row>
    <row r="587" spans="1:32" hidden="1" x14ac:dyDescent="0.2">
      <c r="A587" s="14" t="str">
        <f t="shared" si="150"/>
        <v/>
      </c>
      <c r="B587" s="69" t="s">
        <v>217</v>
      </c>
      <c r="C587" s="15"/>
      <c r="D587" s="242"/>
      <c r="E587" s="20"/>
      <c r="F587" s="21"/>
      <c r="G587" s="85" t="s">
        <v>595</v>
      </c>
      <c r="H587" s="15" t="s">
        <v>66</v>
      </c>
      <c r="I587" s="18"/>
      <c r="J587" s="15"/>
      <c r="K587" s="15"/>
      <c r="L587" s="15"/>
      <c r="M587" s="15"/>
      <c r="N587" s="15"/>
      <c r="O587" s="15"/>
      <c r="P587" s="15"/>
      <c r="Q587" s="15"/>
      <c r="R587" s="15"/>
      <c r="S587" s="88">
        <v>1</v>
      </c>
      <c r="T587" s="7" t="s">
        <v>491</v>
      </c>
      <c r="U587" s="31">
        <f>SUM(I587:R587)</f>
        <v>0</v>
      </c>
      <c r="V587" s="31">
        <f t="shared" si="152"/>
        <v>0</v>
      </c>
      <c r="W587" s="35">
        <f>Rate!D$3</f>
        <v>34.5</v>
      </c>
      <c r="X587" s="110">
        <f t="shared" si="146"/>
        <v>0</v>
      </c>
      <c r="Y587" s="110">
        <f t="shared" si="147"/>
        <v>0</v>
      </c>
      <c r="Z587" s="110">
        <f t="shared" si="148"/>
        <v>0</v>
      </c>
      <c r="AA587" s="110">
        <f t="shared" si="149"/>
        <v>0</v>
      </c>
      <c r="AB587" s="110">
        <f t="shared" si="151"/>
        <v>0</v>
      </c>
      <c r="AC587" s="371" t="s">
        <v>163</v>
      </c>
      <c r="AD587" s="371" t="s">
        <v>148</v>
      </c>
      <c r="AE587" s="371" t="s">
        <v>149</v>
      </c>
      <c r="AF587" s="371"/>
    </row>
    <row r="588" spans="1:32" hidden="1" x14ac:dyDescent="0.2">
      <c r="A588" s="14" t="str">
        <f t="shared" si="150"/>
        <v/>
      </c>
      <c r="B588" s="69" t="s">
        <v>218</v>
      </c>
      <c r="C588" s="15"/>
      <c r="D588" s="242"/>
      <c r="E588" s="20"/>
      <c r="F588" s="21"/>
      <c r="G588" s="85" t="s">
        <v>595</v>
      </c>
      <c r="H588" s="15" t="s">
        <v>66</v>
      </c>
      <c r="I588" s="18"/>
      <c r="J588" s="15"/>
      <c r="K588" s="15"/>
      <c r="L588" s="15"/>
      <c r="M588" s="15"/>
      <c r="N588" s="15"/>
      <c r="O588" s="15"/>
      <c r="P588" s="15"/>
      <c r="Q588" s="15"/>
      <c r="R588" s="15"/>
      <c r="S588" s="88">
        <v>1</v>
      </c>
      <c r="T588" s="7" t="s">
        <v>491</v>
      </c>
      <c r="U588" s="31">
        <f>SUM(I588:R588)</f>
        <v>0</v>
      </c>
      <c r="V588" s="31">
        <f t="shared" si="152"/>
        <v>0</v>
      </c>
      <c r="W588" s="35">
        <f>Rate!D$3</f>
        <v>34.5</v>
      </c>
      <c r="X588" s="110">
        <f t="shared" si="146"/>
        <v>0</v>
      </c>
      <c r="Y588" s="110">
        <f t="shared" si="147"/>
        <v>0</v>
      </c>
      <c r="Z588" s="110">
        <f t="shared" si="148"/>
        <v>0</v>
      </c>
      <c r="AA588" s="110">
        <f t="shared" si="149"/>
        <v>0</v>
      </c>
      <c r="AB588" s="110">
        <f>SUM(X588:AA588)</f>
        <v>0</v>
      </c>
      <c r="AC588" s="371" t="s">
        <v>163</v>
      </c>
      <c r="AD588" s="371" t="s">
        <v>148</v>
      </c>
      <c r="AE588" s="371" t="s">
        <v>149</v>
      </c>
      <c r="AF588" s="371"/>
    </row>
    <row r="589" spans="1:32" hidden="1" x14ac:dyDescent="0.2">
      <c r="A589" s="14" t="str">
        <f t="shared" ref="A589" si="153">+IF(AB589&lt;&gt;0,"X","")</f>
        <v/>
      </c>
      <c r="B589" s="69" t="s">
        <v>219</v>
      </c>
      <c r="C589" s="15"/>
      <c r="D589" s="242"/>
      <c r="E589" s="20"/>
      <c r="F589" s="21"/>
      <c r="G589" s="85" t="s">
        <v>595</v>
      </c>
      <c r="H589" s="15" t="s">
        <v>66</v>
      </c>
      <c r="I589" s="18"/>
      <c r="J589" s="15"/>
      <c r="K589" s="15"/>
      <c r="L589" s="15"/>
      <c r="M589" s="15"/>
      <c r="N589" s="15"/>
      <c r="O589" s="15"/>
      <c r="P589" s="15"/>
      <c r="Q589" s="15"/>
      <c r="R589" s="15"/>
      <c r="S589" s="88">
        <v>1</v>
      </c>
      <c r="T589" s="7" t="s">
        <v>491</v>
      </c>
      <c r="U589" s="31">
        <f>SUM(I589:R589)</f>
        <v>0</v>
      </c>
      <c r="V589" s="31">
        <f t="shared" si="152"/>
        <v>0</v>
      </c>
      <c r="W589" s="35">
        <f>Rate!D$3</f>
        <v>34.5</v>
      </c>
      <c r="X589" s="110">
        <f t="shared" si="146"/>
        <v>0</v>
      </c>
      <c r="Y589" s="110">
        <f t="shared" si="147"/>
        <v>0</v>
      </c>
      <c r="Z589" s="110">
        <f t="shared" si="148"/>
        <v>0</v>
      </c>
      <c r="AA589" s="110">
        <f t="shared" si="149"/>
        <v>0</v>
      </c>
      <c r="AB589" s="110">
        <f t="shared" ref="AB589" si="154">SUM(X589:AA589)</f>
        <v>0</v>
      </c>
      <c r="AC589" s="371" t="s">
        <v>163</v>
      </c>
      <c r="AD589" s="371" t="s">
        <v>148</v>
      </c>
      <c r="AE589" s="371" t="s">
        <v>149</v>
      </c>
      <c r="AF589" s="371"/>
    </row>
    <row r="590" spans="1:32" hidden="1" x14ac:dyDescent="0.2">
      <c r="A590" s="14" t="str">
        <f t="shared" si="150"/>
        <v/>
      </c>
      <c r="B590" s="69" t="s">
        <v>220</v>
      </c>
      <c r="C590" s="15"/>
      <c r="D590" s="242"/>
      <c r="E590" s="20"/>
      <c r="F590" s="21"/>
      <c r="G590" s="85" t="s">
        <v>595</v>
      </c>
      <c r="H590" s="15" t="s">
        <v>66</v>
      </c>
      <c r="I590" s="18"/>
      <c r="J590" s="15"/>
      <c r="K590" s="15"/>
      <c r="L590" s="15"/>
      <c r="M590" s="15"/>
      <c r="N590" s="15"/>
      <c r="O590" s="15"/>
      <c r="P590" s="15"/>
      <c r="Q590" s="15"/>
      <c r="R590" s="15"/>
      <c r="S590" s="88">
        <v>1</v>
      </c>
      <c r="T590" s="7" t="s">
        <v>491</v>
      </c>
      <c r="U590" s="31">
        <f>SUM(I590:R590)</f>
        <v>0</v>
      </c>
      <c r="V590" s="31">
        <f t="shared" si="152"/>
        <v>0</v>
      </c>
      <c r="W590" s="35">
        <f>Rate!D$3</f>
        <v>34.5</v>
      </c>
      <c r="X590" s="110">
        <f t="shared" si="146"/>
        <v>0</v>
      </c>
      <c r="Y590" s="110">
        <f t="shared" si="147"/>
        <v>0</v>
      </c>
      <c r="Z590" s="110">
        <f t="shared" si="148"/>
        <v>0</v>
      </c>
      <c r="AA590" s="110">
        <f t="shared" si="149"/>
        <v>0</v>
      </c>
      <c r="AB590" s="110">
        <f t="shared" si="151"/>
        <v>0</v>
      </c>
      <c r="AC590" s="371" t="s">
        <v>163</v>
      </c>
      <c r="AD590" s="371" t="s">
        <v>148</v>
      </c>
      <c r="AE590" s="371" t="s">
        <v>149</v>
      </c>
      <c r="AF590" s="371"/>
    </row>
    <row r="591" spans="1:32" hidden="1" x14ac:dyDescent="0.2">
      <c r="A591" s="14" t="str">
        <f t="shared" si="150"/>
        <v/>
      </c>
      <c r="B591" s="69" t="s">
        <v>221</v>
      </c>
      <c r="C591" s="15"/>
      <c r="D591" s="242"/>
      <c r="E591" s="20"/>
      <c r="F591" s="21"/>
      <c r="G591" s="85" t="s">
        <v>595</v>
      </c>
      <c r="H591" s="15" t="s">
        <v>66</v>
      </c>
      <c r="I591" s="18"/>
      <c r="J591" s="15"/>
      <c r="K591" s="15"/>
      <c r="L591" s="15"/>
      <c r="M591" s="15"/>
      <c r="N591" s="15"/>
      <c r="O591" s="15"/>
      <c r="P591" s="15"/>
      <c r="Q591" s="15"/>
      <c r="R591" s="15"/>
      <c r="S591" s="88">
        <v>1</v>
      </c>
      <c r="T591" s="7" t="s">
        <v>491</v>
      </c>
      <c r="U591" s="31">
        <f>SUM(I591:R591)</f>
        <v>0</v>
      </c>
      <c r="V591" s="31">
        <f t="shared" si="152"/>
        <v>0</v>
      </c>
      <c r="W591" s="35">
        <f>Rate!D$3</f>
        <v>34.5</v>
      </c>
      <c r="X591" s="110">
        <f t="shared" si="146"/>
        <v>0</v>
      </c>
      <c r="Y591" s="110">
        <f t="shared" si="147"/>
        <v>0</v>
      </c>
      <c r="Z591" s="110">
        <f t="shared" si="148"/>
        <v>0</v>
      </c>
      <c r="AA591" s="110">
        <f t="shared" si="149"/>
        <v>0</v>
      </c>
      <c r="AB591" s="110">
        <f t="shared" si="151"/>
        <v>0</v>
      </c>
      <c r="AC591" s="371" t="s">
        <v>163</v>
      </c>
      <c r="AD591" s="371" t="s">
        <v>148</v>
      </c>
      <c r="AE591" s="371" t="s">
        <v>149</v>
      </c>
      <c r="AF591" s="371"/>
    </row>
    <row r="592" spans="1:32" hidden="1" x14ac:dyDescent="0.2">
      <c r="A592" s="14" t="str">
        <f t="shared" si="150"/>
        <v/>
      </c>
      <c r="B592" s="69" t="s">
        <v>222</v>
      </c>
      <c r="C592" s="15"/>
      <c r="D592" s="242"/>
      <c r="E592" s="20"/>
      <c r="F592" s="21"/>
      <c r="G592" s="85" t="s">
        <v>606</v>
      </c>
      <c r="H592" s="15" t="s">
        <v>66</v>
      </c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7">
        <f>SUM(I592:R592)</f>
        <v>0</v>
      </c>
      <c r="T592" s="7" t="s">
        <v>494</v>
      </c>
      <c r="U592" s="31">
        <v>1</v>
      </c>
      <c r="V592" s="31">
        <f t="shared" si="152"/>
        <v>0</v>
      </c>
      <c r="W592" s="35">
        <f>Rate!D$3</f>
        <v>34.5</v>
      </c>
      <c r="X592" s="110">
        <f t="shared" si="146"/>
        <v>0</v>
      </c>
      <c r="Y592" s="110">
        <f t="shared" si="147"/>
        <v>0</v>
      </c>
      <c r="Z592" s="110">
        <f t="shared" si="148"/>
        <v>0</v>
      </c>
      <c r="AA592" s="110">
        <f t="shared" si="149"/>
        <v>0</v>
      </c>
      <c r="AB592" s="110">
        <f t="shared" si="151"/>
        <v>0</v>
      </c>
      <c r="AC592" s="371" t="s">
        <v>163</v>
      </c>
      <c r="AD592" s="371" t="s">
        <v>148</v>
      </c>
      <c r="AE592" s="371" t="s">
        <v>149</v>
      </c>
      <c r="AF592" s="371"/>
    </row>
    <row r="593" spans="1:32" hidden="1" x14ac:dyDescent="0.2">
      <c r="A593" s="14" t="str">
        <f t="shared" ref="A593" si="155">+IF(AB593&lt;&gt;0,"X","")</f>
        <v/>
      </c>
      <c r="B593" s="69" t="s">
        <v>223</v>
      </c>
      <c r="C593" s="15"/>
      <c r="D593" s="242"/>
      <c r="E593" s="20"/>
      <c r="F593" s="21"/>
      <c r="G593" s="85" t="s">
        <v>595</v>
      </c>
      <c r="H593" s="15" t="s">
        <v>66</v>
      </c>
      <c r="I593" s="18"/>
      <c r="J593" s="15"/>
      <c r="K593" s="15"/>
      <c r="L593" s="15"/>
      <c r="M593" s="15"/>
      <c r="N593" s="15"/>
      <c r="O593" s="15"/>
      <c r="P593" s="15"/>
      <c r="Q593" s="15"/>
      <c r="R593" s="15"/>
      <c r="S593" s="88">
        <v>1</v>
      </c>
      <c r="T593" s="7" t="s">
        <v>491</v>
      </c>
      <c r="U593" s="31">
        <f>SUM(I593:R593)</f>
        <v>0</v>
      </c>
      <c r="V593" s="31">
        <f t="shared" si="152"/>
        <v>0</v>
      </c>
      <c r="W593" s="35">
        <f>Rate!D$3</f>
        <v>34.5</v>
      </c>
      <c r="X593" s="110">
        <f t="shared" si="146"/>
        <v>0</v>
      </c>
      <c r="Y593" s="110">
        <f t="shared" si="147"/>
        <v>0</v>
      </c>
      <c r="Z593" s="110">
        <f t="shared" si="148"/>
        <v>0</v>
      </c>
      <c r="AA593" s="110">
        <f t="shared" si="149"/>
        <v>0</v>
      </c>
      <c r="AB593" s="110">
        <f t="shared" si="151"/>
        <v>0</v>
      </c>
      <c r="AC593" s="371" t="s">
        <v>163</v>
      </c>
      <c r="AD593" s="371" t="s">
        <v>170</v>
      </c>
      <c r="AE593" s="371" t="s">
        <v>149</v>
      </c>
      <c r="AF593" s="371"/>
    </row>
    <row r="594" spans="1:32" hidden="1" x14ac:dyDescent="0.2">
      <c r="A594" s="14" t="str">
        <f>+IF(AB594&lt;&gt;0,"X","")</f>
        <v/>
      </c>
      <c r="B594" s="69" t="s">
        <v>224</v>
      </c>
      <c r="C594" s="15"/>
      <c r="D594" s="242"/>
      <c r="E594" s="20"/>
      <c r="F594" s="21"/>
      <c r="G594" s="85">
        <v>1</v>
      </c>
      <c r="H594" s="15" t="s">
        <v>68</v>
      </c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7">
        <f>SUM(I594:R594)</f>
        <v>0</v>
      </c>
      <c r="T594" s="7" t="s">
        <v>115</v>
      </c>
      <c r="U594" s="31"/>
      <c r="V594" s="31"/>
      <c r="W594" s="87">
        <v>250</v>
      </c>
      <c r="X594" s="110">
        <f t="shared" si="146"/>
        <v>0</v>
      </c>
      <c r="Y594" s="110">
        <f t="shared" si="147"/>
        <v>0</v>
      </c>
      <c r="Z594" s="110">
        <f t="shared" si="148"/>
        <v>0</v>
      </c>
      <c r="AA594" s="110">
        <f t="shared" si="149"/>
        <v>0</v>
      </c>
      <c r="AB594" s="110">
        <f>SUM(X594:AA594)</f>
        <v>0</v>
      </c>
      <c r="AC594" s="371" t="s">
        <v>163</v>
      </c>
      <c r="AD594" s="371" t="s">
        <v>148</v>
      </c>
      <c r="AE594" s="371"/>
      <c r="AF594" s="371"/>
    </row>
    <row r="595" spans="1:32" hidden="1" x14ac:dyDescent="0.2">
      <c r="A595" s="14" t="str">
        <f t="shared" si="150"/>
        <v/>
      </c>
      <c r="B595" s="69" t="s">
        <v>225</v>
      </c>
      <c r="C595" s="15"/>
      <c r="D595" s="242"/>
      <c r="E595" s="20"/>
      <c r="F595" s="21"/>
      <c r="G595" s="85" t="s">
        <v>595</v>
      </c>
      <c r="H595" s="15" t="s">
        <v>66</v>
      </c>
      <c r="I595" s="18"/>
      <c r="J595" s="15"/>
      <c r="K595" s="15"/>
      <c r="L595" s="15"/>
      <c r="M595" s="15"/>
      <c r="N595" s="15"/>
      <c r="O595" s="15"/>
      <c r="P595" s="15"/>
      <c r="Q595" s="15"/>
      <c r="R595" s="15"/>
      <c r="S595" s="88">
        <v>1</v>
      </c>
      <c r="T595" s="7" t="s">
        <v>491</v>
      </c>
      <c r="U595" s="31">
        <f>SUM(I595:R595)</f>
        <v>0</v>
      </c>
      <c r="V595" s="31">
        <f>S595*U595</f>
        <v>0</v>
      </c>
      <c r="W595" s="35">
        <f>Rate!D$3</f>
        <v>34.5</v>
      </c>
      <c r="X595" s="110">
        <f t="shared" si="146"/>
        <v>0</v>
      </c>
      <c r="Y595" s="110">
        <f t="shared" si="147"/>
        <v>0</v>
      </c>
      <c r="Z595" s="110">
        <f t="shared" si="148"/>
        <v>0</v>
      </c>
      <c r="AA595" s="110">
        <f t="shared" si="149"/>
        <v>0</v>
      </c>
      <c r="AB595" s="110">
        <f t="shared" si="151"/>
        <v>0</v>
      </c>
      <c r="AC595" s="371" t="s">
        <v>163</v>
      </c>
      <c r="AD595" s="371" t="s">
        <v>148</v>
      </c>
      <c r="AE595" s="371" t="s">
        <v>149</v>
      </c>
      <c r="AF595" s="371"/>
    </row>
    <row r="596" spans="1:32" hidden="1" x14ac:dyDescent="0.2">
      <c r="A596" s="14" t="str">
        <f t="shared" si="150"/>
        <v/>
      </c>
      <c r="B596" s="69" t="s">
        <v>226</v>
      </c>
      <c r="C596" s="350"/>
      <c r="D596" s="243"/>
      <c r="E596" s="20"/>
      <c r="F596" s="21"/>
      <c r="G596" s="85" t="s">
        <v>594</v>
      </c>
      <c r="H596" s="384" t="s">
        <v>65</v>
      </c>
      <c r="I596" s="379"/>
      <c r="J596" s="379"/>
      <c r="K596" s="379"/>
      <c r="L596" s="379"/>
      <c r="M596" s="379"/>
      <c r="N596" s="379"/>
      <c r="O596" s="379"/>
      <c r="P596" s="379"/>
      <c r="Q596" s="379"/>
      <c r="R596" s="379"/>
      <c r="S596" s="88">
        <v>1</v>
      </c>
      <c r="T596" s="7" t="s">
        <v>491</v>
      </c>
      <c r="U596" s="31"/>
      <c r="V596" s="31"/>
      <c r="W596" s="78">
        <f>SUM(I596:R596)</f>
        <v>0</v>
      </c>
      <c r="X596" s="110">
        <f t="shared" si="146"/>
        <v>0</v>
      </c>
      <c r="Y596" s="110">
        <f t="shared" si="147"/>
        <v>0</v>
      </c>
      <c r="Z596" s="110">
        <f t="shared" si="148"/>
        <v>0</v>
      </c>
      <c r="AA596" s="110">
        <f t="shared" si="149"/>
        <v>0</v>
      </c>
      <c r="AB596" s="110">
        <f>SUM(X596:AA596)</f>
        <v>0</v>
      </c>
      <c r="AC596" s="385" t="s">
        <v>163</v>
      </c>
      <c r="AD596" s="385" t="s">
        <v>148</v>
      </c>
      <c r="AE596" s="383" t="s">
        <v>13</v>
      </c>
      <c r="AF596" s="385"/>
    </row>
    <row r="597" spans="1:32" hidden="1" x14ac:dyDescent="0.2">
      <c r="A597" s="14" t="str">
        <f t="shared" si="150"/>
        <v/>
      </c>
      <c r="B597" s="69" t="s">
        <v>226</v>
      </c>
      <c r="C597" s="15"/>
      <c r="D597" s="242"/>
      <c r="E597" s="20"/>
      <c r="F597" s="21"/>
      <c r="G597" s="85" t="s">
        <v>595</v>
      </c>
      <c r="H597" s="15" t="s">
        <v>66</v>
      </c>
      <c r="I597" s="18"/>
      <c r="J597" s="15"/>
      <c r="K597" s="15"/>
      <c r="L597" s="15"/>
      <c r="M597" s="15"/>
      <c r="N597" s="15"/>
      <c r="O597" s="15"/>
      <c r="P597" s="15"/>
      <c r="Q597" s="15"/>
      <c r="R597" s="15"/>
      <c r="S597" s="88">
        <v>1</v>
      </c>
      <c r="T597" s="7" t="s">
        <v>491</v>
      </c>
      <c r="U597" s="31">
        <f>SUM(I597:R597)</f>
        <v>0</v>
      </c>
      <c r="V597" s="31">
        <f t="shared" ref="V597:V604" si="156">S597*U597</f>
        <v>0</v>
      </c>
      <c r="W597" s="35">
        <f>Rate!D$3</f>
        <v>34.5</v>
      </c>
      <c r="X597" s="110">
        <f t="shared" si="146"/>
        <v>0</v>
      </c>
      <c r="Y597" s="110">
        <f t="shared" si="147"/>
        <v>0</v>
      </c>
      <c r="Z597" s="110">
        <f t="shared" si="148"/>
        <v>0</v>
      </c>
      <c r="AA597" s="110">
        <f t="shared" si="149"/>
        <v>0</v>
      </c>
      <c r="AB597" s="110">
        <f t="shared" si="151"/>
        <v>0</v>
      </c>
      <c r="AC597" s="371" t="s">
        <v>163</v>
      </c>
      <c r="AD597" s="371" t="s">
        <v>148</v>
      </c>
      <c r="AE597" s="371" t="s">
        <v>149</v>
      </c>
      <c r="AF597" s="371"/>
    </row>
    <row r="598" spans="1:32" hidden="1" x14ac:dyDescent="0.2">
      <c r="A598" s="14" t="str">
        <f t="shared" si="150"/>
        <v/>
      </c>
      <c r="B598" s="69" t="s">
        <v>227</v>
      </c>
      <c r="C598" s="15"/>
      <c r="D598" s="242"/>
      <c r="E598" s="20"/>
      <c r="F598" s="21"/>
      <c r="G598" s="85" t="s">
        <v>595</v>
      </c>
      <c r="H598" s="15" t="s">
        <v>66</v>
      </c>
      <c r="I598" s="18"/>
      <c r="J598" s="15"/>
      <c r="K598" s="15"/>
      <c r="L598" s="15"/>
      <c r="M598" s="15"/>
      <c r="N598" s="15"/>
      <c r="O598" s="15"/>
      <c r="P598" s="15"/>
      <c r="Q598" s="15"/>
      <c r="R598" s="15"/>
      <c r="S598" s="88">
        <v>1</v>
      </c>
      <c r="T598" s="7" t="s">
        <v>491</v>
      </c>
      <c r="U598" s="31">
        <f>SUM(I598:R598)</f>
        <v>0</v>
      </c>
      <c r="V598" s="31">
        <f t="shared" si="156"/>
        <v>0</v>
      </c>
      <c r="W598" s="35">
        <f>Rate!D$10</f>
        <v>34.5</v>
      </c>
      <c r="X598" s="110">
        <f t="shared" si="146"/>
        <v>0</v>
      </c>
      <c r="Y598" s="110">
        <f t="shared" si="147"/>
        <v>0</v>
      </c>
      <c r="Z598" s="110">
        <f t="shared" si="148"/>
        <v>0</v>
      </c>
      <c r="AA598" s="110">
        <f t="shared" si="149"/>
        <v>0</v>
      </c>
      <c r="AB598" s="110">
        <f>SUM(X598:AA598)</f>
        <v>0</v>
      </c>
      <c r="AC598" s="371" t="s">
        <v>163</v>
      </c>
      <c r="AD598" s="371" t="s">
        <v>170</v>
      </c>
      <c r="AE598" s="371" t="s">
        <v>149</v>
      </c>
      <c r="AF598" s="371"/>
    </row>
    <row r="599" spans="1:32" hidden="1" x14ac:dyDescent="0.2">
      <c r="A599" s="14" t="str">
        <f t="shared" si="150"/>
        <v/>
      </c>
      <c r="B599" s="69" t="s">
        <v>151</v>
      </c>
      <c r="C599" s="15"/>
      <c r="D599" s="242"/>
      <c r="E599" s="20"/>
      <c r="F599" s="21"/>
      <c r="G599" s="85" t="s">
        <v>595</v>
      </c>
      <c r="H599" s="15" t="s">
        <v>66</v>
      </c>
      <c r="I599" s="18"/>
      <c r="J599" s="15"/>
      <c r="K599" s="15"/>
      <c r="L599" s="15"/>
      <c r="M599" s="15"/>
      <c r="N599" s="15"/>
      <c r="O599" s="15"/>
      <c r="P599" s="15"/>
      <c r="Q599" s="15"/>
      <c r="R599" s="15"/>
      <c r="S599" s="88">
        <v>1</v>
      </c>
      <c r="T599" s="7" t="s">
        <v>491</v>
      </c>
      <c r="U599" s="31">
        <f>SUM(I599:R599)</f>
        <v>0</v>
      </c>
      <c r="V599" s="31">
        <f t="shared" si="156"/>
        <v>0</v>
      </c>
      <c r="W599" s="35">
        <f>Rate!D$3</f>
        <v>34.5</v>
      </c>
      <c r="X599" s="110">
        <f t="shared" si="146"/>
        <v>0</v>
      </c>
      <c r="Y599" s="116">
        <f t="shared" si="147"/>
        <v>0</v>
      </c>
      <c r="Z599" s="110">
        <f t="shared" si="148"/>
        <v>0</v>
      </c>
      <c r="AA599" s="110">
        <f t="shared" si="149"/>
        <v>0</v>
      </c>
      <c r="AB599" s="110">
        <f t="shared" si="151"/>
        <v>0</v>
      </c>
      <c r="AC599" s="371" t="s">
        <v>163</v>
      </c>
      <c r="AD599" s="371" t="s">
        <v>151</v>
      </c>
      <c r="AE599" s="371" t="s">
        <v>149</v>
      </c>
      <c r="AF599" s="371"/>
    </row>
    <row r="600" spans="1:32" hidden="1" x14ac:dyDescent="0.2">
      <c r="A600" s="14" t="str">
        <f t="shared" si="150"/>
        <v/>
      </c>
      <c r="B600" s="69" t="s">
        <v>228</v>
      </c>
      <c r="C600" s="15"/>
      <c r="D600" s="242"/>
      <c r="E600" s="20"/>
      <c r="F600" s="21"/>
      <c r="G600" s="85" t="s">
        <v>595</v>
      </c>
      <c r="H600" s="15" t="s">
        <v>66</v>
      </c>
      <c r="I600" s="18"/>
      <c r="J600" s="15"/>
      <c r="K600" s="15"/>
      <c r="L600" s="15"/>
      <c r="M600" s="15"/>
      <c r="N600" s="15"/>
      <c r="O600" s="15"/>
      <c r="P600" s="15"/>
      <c r="Q600" s="15"/>
      <c r="R600" s="15"/>
      <c r="S600" s="88">
        <v>1</v>
      </c>
      <c r="T600" s="7" t="s">
        <v>491</v>
      </c>
      <c r="U600" s="31">
        <f>SUM(I600:R600)</f>
        <v>0</v>
      </c>
      <c r="V600" s="31">
        <f t="shared" si="156"/>
        <v>0</v>
      </c>
      <c r="W600" s="35">
        <f>Rate!D$3</f>
        <v>34.5</v>
      </c>
      <c r="X600" s="110">
        <f t="shared" si="146"/>
        <v>0</v>
      </c>
      <c r="Y600" s="110">
        <f t="shared" si="147"/>
        <v>0</v>
      </c>
      <c r="Z600" s="110">
        <f t="shared" si="148"/>
        <v>0</v>
      </c>
      <c r="AA600" s="110">
        <f t="shared" si="149"/>
        <v>0</v>
      </c>
      <c r="AB600" s="110">
        <f t="shared" si="151"/>
        <v>0</v>
      </c>
      <c r="AC600" s="371" t="s">
        <v>163</v>
      </c>
      <c r="AD600" s="371" t="s">
        <v>170</v>
      </c>
      <c r="AE600" s="371" t="s">
        <v>149</v>
      </c>
      <c r="AF600" s="371"/>
    </row>
    <row r="601" spans="1:32" hidden="1" x14ac:dyDescent="0.2">
      <c r="A601" s="14" t="str">
        <f t="shared" si="150"/>
        <v/>
      </c>
      <c r="B601" s="69" t="s">
        <v>229</v>
      </c>
      <c r="C601" s="15"/>
      <c r="D601" s="242"/>
      <c r="E601" s="20"/>
      <c r="F601" s="21"/>
      <c r="G601" s="85" t="s">
        <v>607</v>
      </c>
      <c r="H601" s="15" t="s">
        <v>67</v>
      </c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88">
        <v>1</v>
      </c>
      <c r="T601" s="7" t="s">
        <v>491</v>
      </c>
      <c r="U601" s="31">
        <v>0</v>
      </c>
      <c r="V601" s="31">
        <f t="shared" si="156"/>
        <v>0</v>
      </c>
      <c r="W601" s="145">
        <f>SUM(I601:R601)</f>
        <v>0</v>
      </c>
      <c r="X601" s="110">
        <f t="shared" si="146"/>
        <v>0</v>
      </c>
      <c r="Y601" s="110">
        <f t="shared" si="147"/>
        <v>0</v>
      </c>
      <c r="Z601" s="110">
        <f t="shared" si="148"/>
        <v>0</v>
      </c>
      <c r="AA601" s="110">
        <f t="shared" si="149"/>
        <v>0</v>
      </c>
      <c r="AB601" s="110">
        <f t="shared" ref="AB601" si="157">SUM(X601:AA601)</f>
        <v>0</v>
      </c>
      <c r="AC601" s="371" t="s">
        <v>163</v>
      </c>
      <c r="AD601" s="371" t="s">
        <v>171</v>
      </c>
      <c r="AE601" s="371"/>
      <c r="AF601" s="371"/>
    </row>
    <row r="602" spans="1:32" hidden="1" x14ac:dyDescent="0.2">
      <c r="A602" s="14" t="str">
        <f t="shared" si="150"/>
        <v/>
      </c>
      <c r="B602" s="69" t="s">
        <v>230</v>
      </c>
      <c r="C602" s="15"/>
      <c r="D602" s="242"/>
      <c r="E602" s="20"/>
      <c r="F602" s="21"/>
      <c r="G602" s="85" t="s">
        <v>595</v>
      </c>
      <c r="H602" s="15" t="s">
        <v>66</v>
      </c>
      <c r="I602" s="18"/>
      <c r="J602" s="15"/>
      <c r="K602" s="15"/>
      <c r="L602" s="15"/>
      <c r="M602" s="15"/>
      <c r="N602" s="15"/>
      <c r="O602" s="15"/>
      <c r="P602" s="15"/>
      <c r="Q602" s="15"/>
      <c r="R602" s="15"/>
      <c r="S602" s="88">
        <v>1</v>
      </c>
      <c r="T602" s="7" t="s">
        <v>491</v>
      </c>
      <c r="U602" s="31">
        <f>SUM(I602:R602)</f>
        <v>0</v>
      </c>
      <c r="V602" s="31">
        <f t="shared" si="156"/>
        <v>0</v>
      </c>
      <c r="W602" s="35">
        <v>34</v>
      </c>
      <c r="X602" s="110">
        <f t="shared" si="146"/>
        <v>0</v>
      </c>
      <c r="Y602" s="110">
        <f t="shared" si="147"/>
        <v>0</v>
      </c>
      <c r="Z602" s="110">
        <f t="shared" si="148"/>
        <v>0</v>
      </c>
      <c r="AA602" s="110">
        <f t="shared" si="149"/>
        <v>0</v>
      </c>
      <c r="AB602" s="110">
        <f t="shared" ref="AB602" si="158">SUM(X602:AA602)</f>
        <v>0</v>
      </c>
      <c r="AC602" s="371" t="s">
        <v>163</v>
      </c>
      <c r="AD602" s="371" t="s">
        <v>172</v>
      </c>
      <c r="AE602" s="371" t="s">
        <v>149</v>
      </c>
      <c r="AF602" s="371"/>
    </row>
    <row r="603" spans="1:32" hidden="1" x14ac:dyDescent="0.2">
      <c r="A603" s="14" t="str">
        <f t="shared" si="150"/>
        <v/>
      </c>
      <c r="B603" s="69" t="s">
        <v>231</v>
      </c>
      <c r="C603" s="15"/>
      <c r="D603" s="242"/>
      <c r="E603" s="242"/>
      <c r="F603" s="21"/>
      <c r="G603" s="85">
        <v>1</v>
      </c>
      <c r="H603" s="28" t="s">
        <v>68</v>
      </c>
      <c r="I603" s="15"/>
      <c r="J603" s="15">
        <f t="shared" ref="J603:R603" si="159">J602</f>
        <v>0</v>
      </c>
      <c r="K603" s="15">
        <f t="shared" si="159"/>
        <v>0</v>
      </c>
      <c r="L603" s="15">
        <f t="shared" si="159"/>
        <v>0</v>
      </c>
      <c r="M603" s="15">
        <f t="shared" si="159"/>
        <v>0</v>
      </c>
      <c r="N603" s="15">
        <f t="shared" si="159"/>
        <v>0</v>
      </c>
      <c r="O603" s="15">
        <f t="shared" si="159"/>
        <v>0</v>
      </c>
      <c r="P603" s="15">
        <f t="shared" si="159"/>
        <v>0</v>
      </c>
      <c r="Q603" s="15">
        <f t="shared" si="159"/>
        <v>0</v>
      </c>
      <c r="R603" s="15">
        <f t="shared" si="159"/>
        <v>0</v>
      </c>
      <c r="S603" s="88">
        <f>SUM(I603:R603)</f>
        <v>0</v>
      </c>
      <c r="T603" s="7" t="s">
        <v>499</v>
      </c>
      <c r="U603" s="31">
        <v>0</v>
      </c>
      <c r="V603" s="31">
        <f t="shared" si="156"/>
        <v>0</v>
      </c>
      <c r="W603" s="35">
        <v>30</v>
      </c>
      <c r="X603" s="110">
        <f t="shared" si="146"/>
        <v>0</v>
      </c>
      <c r="Y603" s="110">
        <f t="shared" si="147"/>
        <v>0</v>
      </c>
      <c r="Z603" s="110">
        <f t="shared" si="148"/>
        <v>0</v>
      </c>
      <c r="AA603" s="110">
        <f t="shared" si="149"/>
        <v>0</v>
      </c>
      <c r="AB603" s="110">
        <f t="shared" ref="AB603:AB611" si="160">SUM(X603:AA603)</f>
        <v>0</v>
      </c>
      <c r="AC603" s="386" t="s">
        <v>163</v>
      </c>
      <c r="AD603" s="386" t="s">
        <v>172</v>
      </c>
      <c r="AE603" s="386"/>
      <c r="AF603" s="386"/>
    </row>
    <row r="604" spans="1:32" hidden="1" x14ac:dyDescent="0.2">
      <c r="A604" s="14" t="str">
        <f t="shared" si="150"/>
        <v/>
      </c>
      <c r="B604" s="69" t="s">
        <v>232</v>
      </c>
      <c r="C604" s="15"/>
      <c r="D604" s="242"/>
      <c r="E604" s="268"/>
      <c r="F604" s="21"/>
      <c r="G604" s="85" t="s">
        <v>595</v>
      </c>
      <c r="H604" s="15" t="s">
        <v>66</v>
      </c>
      <c r="I604" s="18"/>
      <c r="J604" s="15"/>
      <c r="K604" s="15"/>
      <c r="L604" s="15"/>
      <c r="M604" s="15"/>
      <c r="N604" s="15"/>
      <c r="O604" s="15"/>
      <c r="P604" s="15"/>
      <c r="Q604" s="15"/>
      <c r="R604" s="15"/>
      <c r="S604" s="88">
        <v>1</v>
      </c>
      <c r="T604" s="7" t="s">
        <v>491</v>
      </c>
      <c r="U604" s="31">
        <f>SUM(I604:R604)</f>
        <v>0</v>
      </c>
      <c r="V604" s="31">
        <f t="shared" si="156"/>
        <v>0</v>
      </c>
      <c r="W604" s="35">
        <f>Rate!D$3</f>
        <v>34.5</v>
      </c>
      <c r="X604" s="110">
        <f t="shared" si="146"/>
        <v>0</v>
      </c>
      <c r="Y604" s="110">
        <f t="shared" si="147"/>
        <v>0</v>
      </c>
      <c r="Z604" s="110">
        <f t="shared" si="148"/>
        <v>0</v>
      </c>
      <c r="AA604" s="110">
        <f t="shared" si="149"/>
        <v>0</v>
      </c>
      <c r="AB604" s="110">
        <f t="shared" si="160"/>
        <v>0</v>
      </c>
      <c r="AC604" s="371" t="s">
        <v>163</v>
      </c>
      <c r="AD604" s="371" t="s">
        <v>172</v>
      </c>
      <c r="AE604" s="371" t="s">
        <v>149</v>
      </c>
      <c r="AF604" s="371"/>
    </row>
    <row r="605" spans="1:32" hidden="1" x14ac:dyDescent="0.2">
      <c r="A605" s="14" t="str">
        <f t="shared" si="150"/>
        <v/>
      </c>
      <c r="B605" s="69" t="s">
        <v>233</v>
      </c>
      <c r="C605" s="15"/>
      <c r="D605" s="242"/>
      <c r="E605" s="20"/>
      <c r="F605" s="21"/>
      <c r="G605" s="85" t="s">
        <v>605</v>
      </c>
      <c r="H605" s="15" t="s">
        <v>67</v>
      </c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88">
        <f>SUM(I605:R605)</f>
        <v>0</v>
      </c>
      <c r="T605" s="7" t="s">
        <v>493</v>
      </c>
      <c r="U605" s="31"/>
      <c r="V605" s="31"/>
      <c r="W605" s="87">
        <v>900</v>
      </c>
      <c r="X605" s="110">
        <f t="shared" si="146"/>
        <v>0</v>
      </c>
      <c r="Y605" s="110">
        <f t="shared" si="147"/>
        <v>0</v>
      </c>
      <c r="Z605" s="110">
        <f t="shared" si="148"/>
        <v>0</v>
      </c>
      <c r="AA605" s="110">
        <f t="shared" si="149"/>
        <v>0</v>
      </c>
      <c r="AB605" s="110">
        <f t="shared" si="160"/>
        <v>0</v>
      </c>
      <c r="AC605" s="371" t="s">
        <v>163</v>
      </c>
      <c r="AD605" s="371" t="s">
        <v>148</v>
      </c>
      <c r="AE605" s="371"/>
      <c r="AF605" s="371"/>
    </row>
    <row r="606" spans="1:32" hidden="1" x14ac:dyDescent="0.2">
      <c r="A606" s="14" t="str">
        <f t="shared" si="150"/>
        <v/>
      </c>
      <c r="B606" s="69" t="s">
        <v>234</v>
      </c>
      <c r="C606" s="15"/>
      <c r="D606" s="242"/>
      <c r="E606" s="20"/>
      <c r="F606" s="21"/>
      <c r="G606" s="85" t="s">
        <v>595</v>
      </c>
      <c r="H606" s="15" t="s">
        <v>66</v>
      </c>
      <c r="I606" s="18"/>
      <c r="J606" s="15"/>
      <c r="K606" s="15"/>
      <c r="L606" s="15"/>
      <c r="M606" s="15"/>
      <c r="N606" s="15"/>
      <c r="O606" s="15"/>
      <c r="P606" s="15"/>
      <c r="Q606" s="15"/>
      <c r="R606" s="15"/>
      <c r="S606" s="88">
        <v>1</v>
      </c>
      <c r="T606" s="7" t="s">
        <v>491</v>
      </c>
      <c r="U606" s="31">
        <f>SUM(I606:R606)</f>
        <v>0</v>
      </c>
      <c r="V606" s="31">
        <f>S606*U606</f>
        <v>0</v>
      </c>
      <c r="W606" s="35">
        <f>Rate!D$3</f>
        <v>34.5</v>
      </c>
      <c r="X606" s="110">
        <f t="shared" si="146"/>
        <v>0</v>
      </c>
      <c r="Y606" s="110">
        <f t="shared" si="147"/>
        <v>0</v>
      </c>
      <c r="Z606" s="110">
        <f t="shared" si="148"/>
        <v>0</v>
      </c>
      <c r="AA606" s="110">
        <f t="shared" si="149"/>
        <v>0</v>
      </c>
      <c r="AB606" s="110">
        <f t="shared" si="160"/>
        <v>0</v>
      </c>
      <c r="AC606" s="371" t="s">
        <v>163</v>
      </c>
      <c r="AD606" s="371" t="s">
        <v>148</v>
      </c>
      <c r="AE606" s="371" t="s">
        <v>149</v>
      </c>
      <c r="AF606" s="371"/>
    </row>
    <row r="607" spans="1:32" x14ac:dyDescent="0.2">
      <c r="A607" s="14" t="str">
        <f>+IF(AB607&lt;&gt;0,"X","")</f>
        <v>X</v>
      </c>
      <c r="B607" s="70" t="s">
        <v>235</v>
      </c>
      <c r="C607" s="388" t="s">
        <v>744</v>
      </c>
      <c r="D607" s="268"/>
      <c r="E607" s="284"/>
      <c r="F607" s="289"/>
      <c r="G607" s="302"/>
      <c r="H607" s="15" t="s">
        <v>65</v>
      </c>
      <c r="I607" s="387"/>
      <c r="J607" s="387"/>
      <c r="K607" s="387"/>
      <c r="L607" s="387"/>
      <c r="M607" s="387"/>
      <c r="N607" s="387"/>
      <c r="O607" s="387"/>
      <c r="P607" s="387"/>
      <c r="Q607" s="387"/>
      <c r="R607" s="387"/>
      <c r="S607" s="52">
        <v>0.06</v>
      </c>
      <c r="T607" s="106" t="s">
        <v>13</v>
      </c>
      <c r="U607" s="308" t="s">
        <v>13</v>
      </c>
      <c r="V607" s="92" t="s">
        <v>13</v>
      </c>
      <c r="W607" s="17">
        <f>Rate!D9*(G185+V561)</f>
        <v>52440</v>
      </c>
      <c r="X607" s="111">
        <f t="shared" si="146"/>
        <v>0</v>
      </c>
      <c r="Y607" s="111">
        <f t="shared" si="147"/>
        <v>3146.4</v>
      </c>
      <c r="Z607" s="111">
        <f t="shared" si="148"/>
        <v>0</v>
      </c>
      <c r="AA607" s="111">
        <f t="shared" si="149"/>
        <v>0</v>
      </c>
      <c r="AB607" s="110">
        <f>SUM(X607:AA607)</f>
        <v>3146.4</v>
      </c>
      <c r="AC607" s="371" t="s">
        <v>163</v>
      </c>
      <c r="AD607" s="371" t="s">
        <v>148</v>
      </c>
      <c r="AE607" s="383" t="s">
        <v>13</v>
      </c>
      <c r="AF607" s="371"/>
    </row>
    <row r="608" spans="1:32" ht="13.5" thickBot="1" x14ac:dyDescent="0.25">
      <c r="A608" s="14" t="str">
        <f>+IF(AB608&lt;&gt;0,"X","")</f>
        <v>X</v>
      </c>
      <c r="B608" s="70" t="s">
        <v>236</v>
      </c>
      <c r="C608" s="388" t="s">
        <v>744</v>
      </c>
      <c r="D608" s="268"/>
      <c r="E608" s="284"/>
      <c r="F608" s="289"/>
      <c r="G608" s="85">
        <v>1</v>
      </c>
      <c r="H608" s="15" t="s">
        <v>68</v>
      </c>
      <c r="I608" s="387"/>
      <c r="J608" s="387"/>
      <c r="K608" s="387"/>
      <c r="L608" s="387"/>
      <c r="M608" s="387"/>
      <c r="N608" s="387"/>
      <c r="O608" s="387"/>
      <c r="P608" s="387"/>
      <c r="Q608" s="387"/>
      <c r="R608" s="387"/>
      <c r="S608" s="102">
        <v>7.0000000000000007E-2</v>
      </c>
      <c r="T608" s="106" t="s">
        <v>13</v>
      </c>
      <c r="U608" s="308" t="s">
        <v>13</v>
      </c>
      <c r="V608" s="92" t="s">
        <v>13</v>
      </c>
      <c r="W608" s="17">
        <f>Rate!D9*(G185+V561)</f>
        <v>52440</v>
      </c>
      <c r="X608" s="111">
        <f t="shared" si="146"/>
        <v>0</v>
      </c>
      <c r="Y608" s="111">
        <f t="shared" si="147"/>
        <v>0</v>
      </c>
      <c r="Z608" s="111">
        <f t="shared" si="148"/>
        <v>0</v>
      </c>
      <c r="AA608" s="111">
        <f>IF(H608="E",G608*S608*W608,0)</f>
        <v>3670.8</v>
      </c>
      <c r="AB608" s="110">
        <f>SUM(X608:AA608)</f>
        <v>3670.8</v>
      </c>
      <c r="AC608" s="371" t="s">
        <v>163</v>
      </c>
      <c r="AD608" s="371" t="s">
        <v>148</v>
      </c>
      <c r="AE608" s="371" t="s">
        <v>149</v>
      </c>
      <c r="AF608" s="371"/>
    </row>
    <row r="609" spans="1:32" ht="13.5" hidden="1" thickBot="1" x14ac:dyDescent="0.25">
      <c r="A609" s="14" t="str">
        <f t="shared" si="150"/>
        <v/>
      </c>
      <c r="B609" s="69" t="s">
        <v>237</v>
      </c>
      <c r="C609" s="350"/>
      <c r="D609" s="243"/>
      <c r="E609" s="20"/>
      <c r="F609" s="21"/>
      <c r="G609" s="85" t="s">
        <v>605</v>
      </c>
      <c r="H609" s="384" t="s">
        <v>65</v>
      </c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7">
        <f>SUM(I609:R609)</f>
        <v>0</v>
      </c>
      <c r="T609" s="7" t="s">
        <v>493</v>
      </c>
      <c r="U609" s="31"/>
      <c r="V609" s="105"/>
      <c r="W609" s="87">
        <v>2500</v>
      </c>
      <c r="X609" s="110">
        <f t="shared" si="146"/>
        <v>0</v>
      </c>
      <c r="Y609" s="110">
        <f t="shared" si="147"/>
        <v>0</v>
      </c>
      <c r="Z609" s="110">
        <f t="shared" si="148"/>
        <v>0</v>
      </c>
      <c r="AA609" s="110">
        <f t="shared" si="149"/>
        <v>0</v>
      </c>
      <c r="AB609" s="110">
        <f t="shared" si="160"/>
        <v>0</v>
      </c>
      <c r="AC609" s="385" t="s">
        <v>163</v>
      </c>
      <c r="AD609" s="385" t="s">
        <v>148</v>
      </c>
      <c r="AE609" s="383" t="s">
        <v>13</v>
      </c>
      <c r="AF609" s="385"/>
    </row>
    <row r="610" spans="1:32" ht="13.5" hidden="1" thickBot="1" x14ac:dyDescent="0.25">
      <c r="A610" s="14" t="str">
        <f t="shared" si="150"/>
        <v/>
      </c>
      <c r="B610" s="69" t="s">
        <v>238</v>
      </c>
      <c r="C610" s="15"/>
      <c r="D610" s="242"/>
      <c r="E610" s="20"/>
      <c r="F610" s="21"/>
      <c r="G610" s="85" t="s">
        <v>605</v>
      </c>
      <c r="H610" s="15" t="s">
        <v>66</v>
      </c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88">
        <f>SUM(I610:R610)</f>
        <v>0</v>
      </c>
      <c r="T610" s="7" t="s">
        <v>493</v>
      </c>
      <c r="U610" s="31">
        <v>4</v>
      </c>
      <c r="V610" s="31">
        <f>S610*U610</f>
        <v>0</v>
      </c>
      <c r="W610" s="35">
        <f>Rate!D$9</f>
        <v>38</v>
      </c>
      <c r="X610" s="110">
        <f t="shared" si="146"/>
        <v>0</v>
      </c>
      <c r="Y610" s="110">
        <f t="shared" si="147"/>
        <v>0</v>
      </c>
      <c r="Z610" s="110">
        <f t="shared" si="148"/>
        <v>0</v>
      </c>
      <c r="AA610" s="110">
        <f t="shared" si="149"/>
        <v>0</v>
      </c>
      <c r="AB610" s="110">
        <f t="shared" si="160"/>
        <v>0</v>
      </c>
      <c r="AC610" s="371" t="s">
        <v>163</v>
      </c>
      <c r="AD610" s="371" t="s">
        <v>148</v>
      </c>
      <c r="AE610" s="371" t="s">
        <v>149</v>
      </c>
      <c r="AF610" s="371"/>
    </row>
    <row r="611" spans="1:32" ht="13.5" hidden="1" thickBot="1" x14ac:dyDescent="0.25">
      <c r="A611" s="14" t="str">
        <f t="shared" si="150"/>
        <v/>
      </c>
      <c r="B611" s="69" t="s">
        <v>239</v>
      </c>
      <c r="C611" s="351"/>
      <c r="D611" s="244"/>
      <c r="E611" s="20"/>
      <c r="F611" s="21"/>
      <c r="G611" s="85" t="s">
        <v>605</v>
      </c>
      <c r="H611" s="388" t="s">
        <v>65</v>
      </c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7">
        <f>SUM(I611:R611)</f>
        <v>0</v>
      </c>
      <c r="T611" s="7" t="s">
        <v>493</v>
      </c>
      <c r="U611" s="31"/>
      <c r="V611" s="105"/>
      <c r="W611" s="87">
        <v>500</v>
      </c>
      <c r="X611" s="110">
        <f t="shared" ref="X611:X642" si="161">IF(H611="L",V611*W611,0)</f>
        <v>0</v>
      </c>
      <c r="Y611" s="110">
        <f t="shared" ref="Y611:Y625" si="162">IF(H611="M",S611*W611,0)</f>
        <v>0</v>
      </c>
      <c r="Z611" s="110">
        <f t="shared" ref="Z611:Z625" si="163">IF(H611="S",S611*W611,0)</f>
        <v>0</v>
      </c>
      <c r="AA611" s="110">
        <f t="shared" ref="AA611:AA642" si="164">IF(H611="E",G611*S611*W611,0)</f>
        <v>0</v>
      </c>
      <c r="AB611" s="110">
        <f t="shared" si="160"/>
        <v>0</v>
      </c>
      <c r="AC611" s="389" t="s">
        <v>163</v>
      </c>
      <c r="AD611" s="389" t="s">
        <v>148</v>
      </c>
      <c r="AE611" s="383" t="s">
        <v>13</v>
      </c>
      <c r="AF611" s="389"/>
    </row>
    <row r="612" spans="1:32" ht="13.5" hidden="1" thickBot="1" x14ac:dyDescent="0.25">
      <c r="A612" s="14" t="str">
        <f>IF(SUM(AB613:AB624)&lt;&gt;0,"X","")</f>
        <v/>
      </c>
      <c r="B612" s="198" t="s">
        <v>240</v>
      </c>
      <c r="C612" s="200" t="s">
        <v>13</v>
      </c>
      <c r="D612" s="207"/>
      <c r="E612" s="199"/>
      <c r="F612" s="200"/>
      <c r="G612" s="200"/>
      <c r="H612" s="200"/>
      <c r="I612" s="200"/>
      <c r="J612" s="200"/>
      <c r="K612" s="200"/>
      <c r="L612" s="200"/>
      <c r="M612" s="200"/>
      <c r="N612" s="200"/>
      <c r="O612" s="200"/>
      <c r="P612" s="200"/>
      <c r="Q612" s="200"/>
      <c r="R612" s="200"/>
      <c r="S612" s="200"/>
      <c r="T612" s="200"/>
      <c r="U612" s="201"/>
      <c r="V612" s="202"/>
      <c r="W612" s="203"/>
      <c r="X612" s="204">
        <f t="shared" si="161"/>
        <v>0</v>
      </c>
      <c r="Y612" s="204">
        <f t="shared" si="162"/>
        <v>0</v>
      </c>
      <c r="Z612" s="204">
        <f t="shared" si="163"/>
        <v>0</v>
      </c>
      <c r="AA612" s="204">
        <f t="shared" si="164"/>
        <v>0</v>
      </c>
      <c r="AB612" s="205"/>
      <c r="AC612" s="369"/>
      <c r="AD612" s="369"/>
      <c r="AE612" s="369" t="s">
        <v>13</v>
      </c>
      <c r="AF612" s="369"/>
    </row>
    <row r="613" spans="1:32" ht="13.5" hidden="1" thickBot="1" x14ac:dyDescent="0.25">
      <c r="A613" s="14" t="str">
        <f t="shared" ref="A613:A624" si="165">+IF(AB613&lt;&gt;0,"X","")</f>
        <v/>
      </c>
      <c r="B613" s="69" t="s">
        <v>241</v>
      </c>
      <c r="C613" s="347"/>
      <c r="D613" s="349">
        <f t="shared" ref="D613:D622" si="166">Z613/E613</f>
        <v>0</v>
      </c>
      <c r="E613" s="248">
        <v>65</v>
      </c>
      <c r="F613" s="21"/>
      <c r="G613" s="85" t="s">
        <v>513</v>
      </c>
      <c r="H613" s="15" t="s">
        <v>67</v>
      </c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7">
        <f>SUM(I613:R613)</f>
        <v>0</v>
      </c>
      <c r="T613" s="7" t="s">
        <v>115</v>
      </c>
      <c r="U613" s="31"/>
      <c r="V613" s="31"/>
      <c r="W613" s="87">
        <v>1300</v>
      </c>
      <c r="X613" s="110">
        <f t="shared" si="161"/>
        <v>0</v>
      </c>
      <c r="Y613" s="110">
        <f t="shared" si="162"/>
        <v>0</v>
      </c>
      <c r="Z613" s="110">
        <f>IF(H613="S",S613*W613,0)</f>
        <v>0</v>
      </c>
      <c r="AA613" s="110">
        <f t="shared" si="164"/>
        <v>0</v>
      </c>
      <c r="AB613" s="110">
        <f t="shared" ref="AB613:AB618" si="167">SUM(X613:AA613)</f>
        <v>0</v>
      </c>
      <c r="AC613" s="371" t="s">
        <v>163</v>
      </c>
      <c r="AD613" s="371" t="s">
        <v>148</v>
      </c>
      <c r="AE613" s="371" t="s">
        <v>482</v>
      </c>
      <c r="AF613" s="371"/>
    </row>
    <row r="614" spans="1:32" ht="13.5" hidden="1" thickBot="1" x14ac:dyDescent="0.25">
      <c r="A614" s="14" t="str">
        <f t="shared" si="165"/>
        <v/>
      </c>
      <c r="B614" s="69" t="s">
        <v>621</v>
      </c>
      <c r="C614" s="15"/>
      <c r="D614" s="349">
        <f t="shared" si="166"/>
        <v>0</v>
      </c>
      <c r="E614" s="248">
        <v>65</v>
      </c>
      <c r="F614" s="21"/>
      <c r="G614" s="85" t="s">
        <v>513</v>
      </c>
      <c r="H614" s="15" t="s">
        <v>67</v>
      </c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7">
        <f>SUM(I614:R614)</f>
        <v>0</v>
      </c>
      <c r="T614" s="7" t="s">
        <v>115</v>
      </c>
      <c r="U614" s="31"/>
      <c r="V614" s="31"/>
      <c r="W614" s="87">
        <v>1300</v>
      </c>
      <c r="X614" s="110">
        <f t="shared" si="161"/>
        <v>0</v>
      </c>
      <c r="Y614" s="110">
        <f t="shared" si="162"/>
        <v>0</v>
      </c>
      <c r="Z614" s="110">
        <f>IF(H614="S",S614*W614,0)</f>
        <v>0</v>
      </c>
      <c r="AA614" s="110">
        <f t="shared" si="164"/>
        <v>0</v>
      </c>
      <c r="AB614" s="110">
        <f t="shared" si="167"/>
        <v>0</v>
      </c>
      <c r="AC614" s="371" t="s">
        <v>163</v>
      </c>
      <c r="AD614" s="371" t="s">
        <v>148</v>
      </c>
      <c r="AE614" s="371" t="s">
        <v>482</v>
      </c>
      <c r="AF614" s="371"/>
    </row>
    <row r="615" spans="1:32" ht="13.5" hidden="1" thickBot="1" x14ac:dyDescent="0.25">
      <c r="A615" s="14" t="str">
        <f t="shared" si="165"/>
        <v/>
      </c>
      <c r="B615" s="69" t="s">
        <v>622</v>
      </c>
      <c r="C615" s="15"/>
      <c r="D615" s="349">
        <f t="shared" si="166"/>
        <v>0</v>
      </c>
      <c r="E615" s="248">
        <v>65</v>
      </c>
      <c r="F615" s="21"/>
      <c r="G615" s="85" t="s">
        <v>513</v>
      </c>
      <c r="H615" s="15" t="s">
        <v>67</v>
      </c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7">
        <f>SUM(I615:R615)</f>
        <v>0</v>
      </c>
      <c r="T615" s="7" t="s">
        <v>115</v>
      </c>
      <c r="U615" s="31"/>
      <c r="V615" s="31"/>
      <c r="W615" s="87">
        <v>1300</v>
      </c>
      <c r="X615" s="110">
        <f t="shared" si="161"/>
        <v>0</v>
      </c>
      <c r="Y615" s="110">
        <f t="shared" si="162"/>
        <v>0</v>
      </c>
      <c r="Z615" s="110">
        <f>IF(H615="S",S615*W615,0)</f>
        <v>0</v>
      </c>
      <c r="AA615" s="110">
        <f t="shared" si="164"/>
        <v>0</v>
      </c>
      <c r="AB615" s="110">
        <f t="shared" si="167"/>
        <v>0</v>
      </c>
      <c r="AC615" s="371" t="s">
        <v>163</v>
      </c>
      <c r="AD615" s="371" t="s">
        <v>148</v>
      </c>
      <c r="AE615" s="371" t="s">
        <v>482</v>
      </c>
      <c r="AF615" s="371"/>
    </row>
    <row r="616" spans="1:32" ht="13.5" hidden="1" thickBot="1" x14ac:dyDescent="0.25">
      <c r="A616" s="14" t="str">
        <f>+IF(AB616&lt;&gt;0,"X","")</f>
        <v/>
      </c>
      <c r="B616" s="69" t="s">
        <v>623</v>
      </c>
      <c r="C616" s="15"/>
      <c r="D616" s="349">
        <f t="shared" si="166"/>
        <v>0</v>
      </c>
      <c r="E616" s="248">
        <v>65</v>
      </c>
      <c r="F616" s="21"/>
      <c r="G616" s="85" t="s">
        <v>513</v>
      </c>
      <c r="H616" s="15" t="s">
        <v>67</v>
      </c>
      <c r="I616" s="15"/>
      <c r="J616" s="381"/>
      <c r="K616" s="381"/>
      <c r="L616" s="381"/>
      <c r="M616" s="381"/>
      <c r="N616" s="381"/>
      <c r="O616" s="381"/>
      <c r="P616" s="381"/>
      <c r="Q616" s="381"/>
      <c r="R616" s="381"/>
      <c r="S616" s="7">
        <f>SUM(I616:R616)</f>
        <v>0</v>
      </c>
      <c r="T616" s="7" t="s">
        <v>115</v>
      </c>
      <c r="U616" s="31"/>
      <c r="V616" s="31"/>
      <c r="W616" s="124">
        <f>SUM(I616:R616)</f>
        <v>0</v>
      </c>
      <c r="X616" s="110">
        <f t="shared" si="161"/>
        <v>0</v>
      </c>
      <c r="Y616" s="110">
        <f t="shared" si="162"/>
        <v>0</v>
      </c>
      <c r="Z616" s="110">
        <f>IF(H616="S",S616*W616,0)</f>
        <v>0</v>
      </c>
      <c r="AA616" s="110">
        <f t="shared" si="164"/>
        <v>0</v>
      </c>
      <c r="AB616" s="110">
        <f>SUM(X616:AA616)</f>
        <v>0</v>
      </c>
      <c r="AC616" s="371" t="s">
        <v>163</v>
      </c>
      <c r="AD616" s="371" t="s">
        <v>148</v>
      </c>
      <c r="AE616" s="371"/>
      <c r="AF616" s="371"/>
    </row>
    <row r="617" spans="1:32" ht="13.5" hidden="1" thickBot="1" x14ac:dyDescent="0.25">
      <c r="A617" s="14" t="str">
        <f>+IF(AB617&lt;&gt;0,"X","")</f>
        <v/>
      </c>
      <c r="B617" s="69" t="s">
        <v>624</v>
      </c>
      <c r="C617" s="15"/>
      <c r="D617" s="349">
        <f t="shared" si="166"/>
        <v>0</v>
      </c>
      <c r="E617" s="248">
        <v>85</v>
      </c>
      <c r="F617" s="21"/>
      <c r="G617" s="85" t="s">
        <v>513</v>
      </c>
      <c r="H617" s="15" t="s">
        <v>67</v>
      </c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7">
        <f>SUM(I617:R617)</f>
        <v>0</v>
      </c>
      <c r="T617" s="7" t="s">
        <v>115</v>
      </c>
      <c r="U617" s="31"/>
      <c r="V617" s="31"/>
      <c r="W617" s="87">
        <v>1600</v>
      </c>
      <c r="X617" s="110">
        <f t="shared" si="161"/>
        <v>0</v>
      </c>
      <c r="Y617" s="110">
        <f t="shared" si="162"/>
        <v>0</v>
      </c>
      <c r="Z617" s="110">
        <f>IF(H617="S",S617*W617,0)</f>
        <v>0</v>
      </c>
      <c r="AA617" s="110">
        <f t="shared" si="164"/>
        <v>0</v>
      </c>
      <c r="AB617" s="110">
        <f>SUM(X617:AA617)</f>
        <v>0</v>
      </c>
      <c r="AC617" s="371" t="s">
        <v>163</v>
      </c>
      <c r="AD617" s="371" t="s">
        <v>148</v>
      </c>
      <c r="AE617" s="371" t="s">
        <v>482</v>
      </c>
      <c r="AF617" s="371"/>
    </row>
    <row r="618" spans="1:32" ht="13.5" hidden="1" thickBot="1" x14ac:dyDescent="0.25">
      <c r="A618" s="14" t="str">
        <f t="shared" si="165"/>
        <v/>
      </c>
      <c r="B618" s="69" t="s">
        <v>242</v>
      </c>
      <c r="C618" s="15"/>
      <c r="D618" s="349">
        <f t="shared" si="166"/>
        <v>0</v>
      </c>
      <c r="E618" s="248">
        <v>65</v>
      </c>
      <c r="F618" s="21"/>
      <c r="G618" s="85" t="s">
        <v>594</v>
      </c>
      <c r="H618" s="15" t="s">
        <v>67</v>
      </c>
      <c r="I618" s="379"/>
      <c r="J618" s="379"/>
      <c r="K618" s="379"/>
      <c r="L618" s="379"/>
      <c r="M618" s="379"/>
      <c r="N618" s="379"/>
      <c r="O618" s="379"/>
      <c r="P618" s="379"/>
      <c r="Q618" s="379"/>
      <c r="R618" s="379"/>
      <c r="S618" s="88">
        <v>1</v>
      </c>
      <c r="T618" s="7" t="s">
        <v>491</v>
      </c>
      <c r="U618" s="31"/>
      <c r="V618" s="31"/>
      <c r="W618" s="78">
        <f>SUM(I618:R618)</f>
        <v>0</v>
      </c>
      <c r="X618" s="110">
        <f t="shared" si="161"/>
        <v>0</v>
      </c>
      <c r="Y618" s="110">
        <f t="shared" si="162"/>
        <v>0</v>
      </c>
      <c r="Z618" s="110">
        <f t="shared" si="163"/>
        <v>0</v>
      </c>
      <c r="AA618" s="110">
        <f t="shared" si="164"/>
        <v>0</v>
      </c>
      <c r="AB618" s="110">
        <f t="shared" si="167"/>
        <v>0</v>
      </c>
      <c r="AC618" s="371" t="s">
        <v>163</v>
      </c>
      <c r="AD618" s="371" t="s">
        <v>148</v>
      </c>
      <c r="AE618" s="371" t="s">
        <v>482</v>
      </c>
      <c r="AF618" s="371"/>
    </row>
    <row r="619" spans="1:32" ht="13.5" hidden="1" thickBot="1" x14ac:dyDescent="0.25">
      <c r="A619" s="14" t="str">
        <f t="shared" ref="A619" si="168">+IF(AB619&lt;&gt;0,"X","")</f>
        <v/>
      </c>
      <c r="B619" s="69" t="s">
        <v>629</v>
      </c>
      <c r="C619" s="15"/>
      <c r="D619" s="349">
        <f t="shared" si="166"/>
        <v>0</v>
      </c>
      <c r="E619" s="248">
        <v>90</v>
      </c>
      <c r="F619" s="21"/>
      <c r="G619" s="85" t="s">
        <v>594</v>
      </c>
      <c r="H619" s="15" t="s">
        <v>67</v>
      </c>
      <c r="I619" s="379"/>
      <c r="J619" s="379"/>
      <c r="K619" s="379"/>
      <c r="L619" s="379"/>
      <c r="M619" s="379"/>
      <c r="N619" s="379"/>
      <c r="O619" s="379"/>
      <c r="P619" s="379"/>
      <c r="Q619" s="379"/>
      <c r="R619" s="379"/>
      <c r="S619" s="19">
        <v>1</v>
      </c>
      <c r="T619" s="19" t="s">
        <v>491</v>
      </c>
      <c r="U619" s="31"/>
      <c r="V619" s="31"/>
      <c r="W619" s="125">
        <f>SUM(I619:R619)</f>
        <v>0</v>
      </c>
      <c r="X619" s="110">
        <f t="shared" si="161"/>
        <v>0</v>
      </c>
      <c r="Y619" s="110">
        <f t="shared" si="162"/>
        <v>0</v>
      </c>
      <c r="Z619" s="110">
        <f t="shared" si="163"/>
        <v>0</v>
      </c>
      <c r="AA619" s="110">
        <f t="shared" si="164"/>
        <v>0</v>
      </c>
      <c r="AB619" s="110">
        <f t="shared" ref="AB619" si="169">SUM(X619:AA619)</f>
        <v>0</v>
      </c>
      <c r="AC619" s="371" t="s">
        <v>163</v>
      </c>
      <c r="AD619" s="371" t="s">
        <v>148</v>
      </c>
      <c r="AE619" s="371" t="s">
        <v>482</v>
      </c>
      <c r="AF619" s="371"/>
    </row>
    <row r="620" spans="1:32" ht="13.5" hidden="1" thickBot="1" x14ac:dyDescent="0.25">
      <c r="A620" s="14" t="str">
        <f>+IF(AB620&lt;&gt;0,"X","")</f>
        <v/>
      </c>
      <c r="B620" s="70" t="s">
        <v>243</v>
      </c>
      <c r="C620" s="18"/>
      <c r="D620" s="349">
        <f t="shared" si="166"/>
        <v>0</v>
      </c>
      <c r="E620" s="248">
        <v>175</v>
      </c>
      <c r="F620" s="21"/>
      <c r="G620" s="252" t="s">
        <v>594</v>
      </c>
      <c r="H620" s="15" t="s">
        <v>67</v>
      </c>
      <c r="I620" s="379"/>
      <c r="J620" s="379"/>
      <c r="K620" s="379"/>
      <c r="L620" s="379"/>
      <c r="M620" s="379"/>
      <c r="N620" s="379"/>
      <c r="O620" s="379"/>
      <c r="P620" s="379"/>
      <c r="Q620" s="379"/>
      <c r="R620" s="379"/>
      <c r="S620" s="19">
        <v>1</v>
      </c>
      <c r="T620" s="19" t="s">
        <v>491</v>
      </c>
      <c r="U620" s="31"/>
      <c r="V620" s="93"/>
      <c r="W620" s="125">
        <f>SUM(I620:R620)</f>
        <v>0</v>
      </c>
      <c r="X620" s="109">
        <f t="shared" si="161"/>
        <v>0</v>
      </c>
      <c r="Y620" s="109">
        <f t="shared" si="162"/>
        <v>0</v>
      </c>
      <c r="Z620" s="109">
        <f t="shared" si="163"/>
        <v>0</v>
      </c>
      <c r="AA620" s="109">
        <f t="shared" si="164"/>
        <v>0</v>
      </c>
      <c r="AB620" s="109">
        <f>SUM(X620:AA620)</f>
        <v>0</v>
      </c>
      <c r="AC620" s="371" t="s">
        <v>163</v>
      </c>
      <c r="AD620" s="371" t="s">
        <v>148</v>
      </c>
      <c r="AE620" s="371" t="s">
        <v>482</v>
      </c>
      <c r="AF620" s="371"/>
    </row>
    <row r="621" spans="1:32" ht="13.5" hidden="1" thickBot="1" x14ac:dyDescent="0.25">
      <c r="A621" s="14" t="str">
        <f>+IF(AB621&lt;&gt;0,"X","")</f>
        <v/>
      </c>
      <c r="B621" s="69" t="s">
        <v>244</v>
      </c>
      <c r="C621" s="15"/>
      <c r="D621" s="349">
        <f t="shared" si="166"/>
        <v>0</v>
      </c>
      <c r="E621" s="248">
        <v>175</v>
      </c>
      <c r="F621" s="21"/>
      <c r="G621" s="85" t="s">
        <v>594</v>
      </c>
      <c r="H621" s="15" t="s">
        <v>67</v>
      </c>
      <c r="I621" s="379"/>
      <c r="J621" s="379"/>
      <c r="K621" s="379"/>
      <c r="L621" s="379"/>
      <c r="M621" s="379"/>
      <c r="N621" s="379"/>
      <c r="O621" s="379"/>
      <c r="P621" s="379"/>
      <c r="Q621" s="379"/>
      <c r="R621" s="379"/>
      <c r="S621" s="88">
        <v>1</v>
      </c>
      <c r="T621" s="7" t="s">
        <v>491</v>
      </c>
      <c r="U621" s="31"/>
      <c r="V621" s="31"/>
      <c r="W621" s="78">
        <f>SUM(I621:R621)</f>
        <v>0</v>
      </c>
      <c r="X621" s="110">
        <f t="shared" si="161"/>
        <v>0</v>
      </c>
      <c r="Y621" s="110">
        <f t="shared" si="162"/>
        <v>0</v>
      </c>
      <c r="Z621" s="110">
        <f t="shared" si="163"/>
        <v>0</v>
      </c>
      <c r="AA621" s="110">
        <f t="shared" si="164"/>
        <v>0</v>
      </c>
      <c r="AB621" s="110">
        <f>SUM(X621:AA621)</f>
        <v>0</v>
      </c>
      <c r="AC621" s="371" t="s">
        <v>163</v>
      </c>
      <c r="AD621" s="371" t="s">
        <v>148</v>
      </c>
      <c r="AE621" s="371" t="s">
        <v>482</v>
      </c>
      <c r="AF621" s="371"/>
    </row>
    <row r="622" spans="1:32" ht="13.5" hidden="1" thickBot="1" x14ac:dyDescent="0.25">
      <c r="A622" s="14" t="str">
        <f>+IF(AB622&lt;&gt;0,"X","")</f>
        <v/>
      </c>
      <c r="B622" s="69" t="s">
        <v>245</v>
      </c>
      <c r="C622" s="15"/>
      <c r="D622" s="349">
        <f t="shared" si="166"/>
        <v>0</v>
      </c>
      <c r="E622" s="248">
        <v>200</v>
      </c>
      <c r="F622" s="21"/>
      <c r="G622" s="85" t="s">
        <v>594</v>
      </c>
      <c r="H622" s="15" t="s">
        <v>67</v>
      </c>
      <c r="I622" s="379"/>
      <c r="J622" s="379"/>
      <c r="K622" s="379"/>
      <c r="L622" s="379"/>
      <c r="M622" s="379"/>
      <c r="N622" s="379"/>
      <c r="O622" s="379"/>
      <c r="P622" s="379"/>
      <c r="Q622" s="379"/>
      <c r="R622" s="379"/>
      <c r="S622" s="7">
        <v>1</v>
      </c>
      <c r="T622" s="7" t="s">
        <v>491</v>
      </c>
      <c r="U622" s="31"/>
      <c r="V622" s="31"/>
      <c r="W622" s="78">
        <f>SUM(I622:R622)</f>
        <v>0</v>
      </c>
      <c r="X622" s="110">
        <f t="shared" si="161"/>
        <v>0</v>
      </c>
      <c r="Y622" s="110">
        <f t="shared" si="162"/>
        <v>0</v>
      </c>
      <c r="Z622" s="110">
        <f t="shared" si="163"/>
        <v>0</v>
      </c>
      <c r="AA622" s="110">
        <f t="shared" si="164"/>
        <v>0</v>
      </c>
      <c r="AB622" s="110">
        <f>SUM(X622:AA622)</f>
        <v>0</v>
      </c>
      <c r="AC622" s="371" t="s">
        <v>163</v>
      </c>
      <c r="AD622" s="371" t="s">
        <v>148</v>
      </c>
      <c r="AE622" s="371" t="s">
        <v>482</v>
      </c>
      <c r="AF622" s="371"/>
    </row>
    <row r="623" spans="1:32" ht="13.5" hidden="1" thickBot="1" x14ac:dyDescent="0.25">
      <c r="A623" s="14" t="str">
        <f>+IF(AB623&lt;&gt;0,"X","")</f>
        <v/>
      </c>
      <c r="B623" s="69" t="s">
        <v>246</v>
      </c>
      <c r="C623" s="15"/>
      <c r="D623" s="242"/>
      <c r="E623" s="20"/>
      <c r="F623" s="21"/>
      <c r="G623" s="85" t="s">
        <v>595</v>
      </c>
      <c r="H623" s="15" t="s">
        <v>66</v>
      </c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88">
        <v>1</v>
      </c>
      <c r="T623" s="7" t="s">
        <v>491</v>
      </c>
      <c r="U623" s="31">
        <f>SUM(I623:R623)</f>
        <v>0</v>
      </c>
      <c r="V623" s="31">
        <f>S623*U623</f>
        <v>0</v>
      </c>
      <c r="W623" s="35">
        <f>Rate!D$3</f>
        <v>34.5</v>
      </c>
      <c r="X623" s="110">
        <f t="shared" si="161"/>
        <v>0</v>
      </c>
      <c r="Y623" s="110">
        <f t="shared" si="162"/>
        <v>0</v>
      </c>
      <c r="Z623" s="110">
        <f t="shared" si="163"/>
        <v>0</v>
      </c>
      <c r="AA623" s="110">
        <f t="shared" si="164"/>
        <v>0</v>
      </c>
      <c r="AB623" s="110">
        <f>SUM(X623:AA623)</f>
        <v>0</v>
      </c>
      <c r="AC623" s="371" t="s">
        <v>163</v>
      </c>
      <c r="AD623" s="371" t="s">
        <v>148</v>
      </c>
      <c r="AE623" s="371" t="s">
        <v>149</v>
      </c>
      <c r="AF623" s="371"/>
    </row>
    <row r="624" spans="1:32" ht="13.5" hidden="1" thickBot="1" x14ac:dyDescent="0.25">
      <c r="A624" s="14" t="str">
        <f t="shared" si="165"/>
        <v/>
      </c>
      <c r="B624" s="69" t="s">
        <v>247</v>
      </c>
      <c r="C624" s="348"/>
      <c r="D624" s="349">
        <f>Z624/E624</f>
        <v>0</v>
      </c>
      <c r="E624" s="248">
        <v>200</v>
      </c>
      <c r="G624" s="85" t="s">
        <v>594</v>
      </c>
      <c r="H624" s="15" t="s">
        <v>67</v>
      </c>
      <c r="I624" s="379"/>
      <c r="J624" s="379"/>
      <c r="K624" s="379"/>
      <c r="L624" s="379"/>
      <c r="M624" s="379"/>
      <c r="N624" s="379"/>
      <c r="O624" s="379"/>
      <c r="P624" s="379"/>
      <c r="Q624" s="379"/>
      <c r="R624" s="379"/>
      <c r="S624" s="88">
        <v>1</v>
      </c>
      <c r="T624" s="7" t="s">
        <v>491</v>
      </c>
      <c r="U624" s="31"/>
      <c r="V624" s="31"/>
      <c r="W624" s="78">
        <f>SUM(I624:R624)</f>
        <v>0</v>
      </c>
      <c r="X624" s="110">
        <f t="shared" si="161"/>
        <v>0</v>
      </c>
      <c r="Y624" s="110">
        <f t="shared" si="162"/>
        <v>0</v>
      </c>
      <c r="Z624" s="110">
        <f t="shared" si="163"/>
        <v>0</v>
      </c>
      <c r="AA624" s="110">
        <f t="shared" si="164"/>
        <v>0</v>
      </c>
      <c r="AB624" s="110">
        <f>SUM(X624:AA624)</f>
        <v>0</v>
      </c>
      <c r="AC624" s="371" t="s">
        <v>163</v>
      </c>
      <c r="AD624" s="371" t="s">
        <v>148</v>
      </c>
      <c r="AE624" s="371" t="s">
        <v>482</v>
      </c>
      <c r="AF624" s="371"/>
    </row>
    <row r="625" spans="1:32" ht="13.5" hidden="1" thickBot="1" x14ac:dyDescent="0.25">
      <c r="A625" s="14" t="str">
        <f>IF(SUM(AB626:AB638)&lt;&gt;0,"X","")</f>
        <v/>
      </c>
      <c r="B625" s="198" t="s">
        <v>248</v>
      </c>
      <c r="C625" s="200" t="s">
        <v>13</v>
      </c>
      <c r="D625" s="199" t="s">
        <v>545</v>
      </c>
      <c r="E625" s="199"/>
      <c r="F625" s="199" t="s">
        <v>546</v>
      </c>
      <c r="G625" s="200"/>
      <c r="H625" s="199"/>
      <c r="I625" s="199"/>
      <c r="J625" s="200"/>
      <c r="K625" s="200"/>
      <c r="L625" s="200"/>
      <c r="M625" s="200"/>
      <c r="N625" s="200"/>
      <c r="O625" s="200"/>
      <c r="P625" s="200"/>
      <c r="Q625" s="200"/>
      <c r="R625" s="200"/>
      <c r="S625" s="200"/>
      <c r="T625" s="200"/>
      <c r="U625" s="201"/>
      <c r="V625" s="202"/>
      <c r="W625" s="203"/>
      <c r="X625" s="204">
        <f t="shared" si="161"/>
        <v>0</v>
      </c>
      <c r="Y625" s="204">
        <f t="shared" si="162"/>
        <v>0</v>
      </c>
      <c r="Z625" s="204">
        <f t="shared" si="163"/>
        <v>0</v>
      </c>
      <c r="AA625" s="204">
        <f t="shared" si="164"/>
        <v>0</v>
      </c>
      <c r="AB625" s="205"/>
      <c r="AC625" s="369"/>
      <c r="AD625" s="369"/>
      <c r="AE625" s="369" t="s">
        <v>13</v>
      </c>
      <c r="AF625" s="369"/>
    </row>
    <row r="626" spans="1:32" ht="13.5" hidden="1" thickBot="1" x14ac:dyDescent="0.25">
      <c r="A626" s="14" t="str">
        <f>+IF(AB626&lt;&gt;0,"X","")</f>
        <v/>
      </c>
      <c r="B626" s="70" t="s">
        <v>280</v>
      </c>
      <c r="C626" s="15"/>
      <c r="D626" s="349">
        <f>Z626/E626</f>
        <v>0</v>
      </c>
      <c r="E626" s="248">
        <v>75</v>
      </c>
      <c r="F626" s="186"/>
      <c r="G626" s="85" t="s">
        <v>594</v>
      </c>
      <c r="H626" s="15" t="s">
        <v>134</v>
      </c>
      <c r="I626" s="379"/>
      <c r="J626" s="379"/>
      <c r="K626" s="379"/>
      <c r="L626" s="379"/>
      <c r="M626" s="379"/>
      <c r="N626" s="379"/>
      <c r="O626" s="379"/>
      <c r="P626" s="379"/>
      <c r="Q626" s="379"/>
      <c r="R626" s="379"/>
      <c r="S626" s="121">
        <v>1</v>
      </c>
      <c r="T626" s="19" t="s">
        <v>752</v>
      </c>
      <c r="U626" s="31"/>
      <c r="V626" s="93"/>
      <c r="W626" s="77">
        <f t="shared" ref="W626:W638" si="170">SUM(I626:R626)</f>
        <v>0</v>
      </c>
      <c r="X626" s="109">
        <f t="shared" si="161"/>
        <v>0</v>
      </c>
      <c r="Y626" s="109">
        <f t="shared" ref="Y626:Y638" si="171">IF(H626="M",S626*W626,0)+IF(H626="SM",F626,0)</f>
        <v>0</v>
      </c>
      <c r="Z626" s="109">
        <f t="shared" ref="Z626:Z638" si="172">IF(H626="S",S626*W626,0)+IF(H626="SM",S626*W626-Y626,0)</f>
        <v>0</v>
      </c>
      <c r="AA626" s="109">
        <f t="shared" si="164"/>
        <v>0</v>
      </c>
      <c r="AB626" s="109">
        <f>SUM(X626:AA626)</f>
        <v>0</v>
      </c>
      <c r="AC626" s="371" t="s">
        <v>163</v>
      </c>
      <c r="AD626" s="371" t="s">
        <v>173</v>
      </c>
      <c r="AE626" s="371" t="s">
        <v>482</v>
      </c>
      <c r="AF626" s="371"/>
    </row>
    <row r="627" spans="1:32" ht="13.5" hidden="1" thickBot="1" x14ac:dyDescent="0.25">
      <c r="A627" s="14" t="str">
        <f>+IF(AB627&lt;&gt;0,"X","")</f>
        <v/>
      </c>
      <c r="B627" s="69" t="s">
        <v>281</v>
      </c>
      <c r="C627" s="15"/>
      <c r="D627" s="349">
        <f t="shared" ref="D627:D638" si="173">Z627/E627</f>
        <v>0</v>
      </c>
      <c r="E627" s="248">
        <v>75</v>
      </c>
      <c r="F627" s="186"/>
      <c r="G627" s="85" t="s">
        <v>594</v>
      </c>
      <c r="H627" s="15" t="s">
        <v>134</v>
      </c>
      <c r="I627" s="379"/>
      <c r="J627" s="379"/>
      <c r="K627" s="379"/>
      <c r="L627" s="379"/>
      <c r="M627" s="379"/>
      <c r="N627" s="379"/>
      <c r="O627" s="379"/>
      <c r="P627" s="379"/>
      <c r="Q627" s="379"/>
      <c r="R627" s="379"/>
      <c r="S627" s="27">
        <v>1</v>
      </c>
      <c r="T627" s="7" t="s">
        <v>753</v>
      </c>
      <c r="U627" s="31"/>
      <c r="V627" s="31"/>
      <c r="W627" s="77">
        <f t="shared" si="170"/>
        <v>0</v>
      </c>
      <c r="X627" s="110">
        <f t="shared" si="161"/>
        <v>0</v>
      </c>
      <c r="Y627" s="110">
        <f t="shared" si="171"/>
        <v>0</v>
      </c>
      <c r="Z627" s="110">
        <f t="shared" si="172"/>
        <v>0</v>
      </c>
      <c r="AA627" s="110">
        <f t="shared" si="164"/>
        <v>0</v>
      </c>
      <c r="AB627" s="110">
        <f>SUM(X627:AA627)</f>
        <v>0</v>
      </c>
      <c r="AC627" s="371" t="s">
        <v>163</v>
      </c>
      <c r="AD627" s="371" t="s">
        <v>150</v>
      </c>
      <c r="AE627" s="371" t="s">
        <v>482</v>
      </c>
      <c r="AF627" s="371"/>
    </row>
    <row r="628" spans="1:32" ht="13.5" hidden="1" thickBot="1" x14ac:dyDescent="0.25">
      <c r="A628" s="14" t="str">
        <f>+IF(AB628&lt;&gt;0,"X","")</f>
        <v/>
      </c>
      <c r="B628" s="70" t="s">
        <v>154</v>
      </c>
      <c r="C628" s="15"/>
      <c r="D628" s="349">
        <f t="shared" si="173"/>
        <v>0</v>
      </c>
      <c r="E628" s="248">
        <v>75</v>
      </c>
      <c r="F628" s="186"/>
      <c r="G628" s="85" t="s">
        <v>594</v>
      </c>
      <c r="H628" s="15" t="s">
        <v>134</v>
      </c>
      <c r="I628" s="379"/>
      <c r="J628" s="379"/>
      <c r="K628" s="379"/>
      <c r="L628" s="379"/>
      <c r="M628" s="379"/>
      <c r="N628" s="379"/>
      <c r="O628" s="379"/>
      <c r="P628" s="379"/>
      <c r="Q628" s="379"/>
      <c r="R628" s="379"/>
      <c r="S628" s="27">
        <v>1</v>
      </c>
      <c r="T628" s="7" t="s">
        <v>491</v>
      </c>
      <c r="U628" s="31"/>
      <c r="V628" s="31"/>
      <c r="W628" s="77">
        <f t="shared" si="170"/>
        <v>0</v>
      </c>
      <c r="X628" s="110">
        <f t="shared" si="161"/>
        <v>0</v>
      </c>
      <c r="Y628" s="110">
        <f t="shared" si="171"/>
        <v>0</v>
      </c>
      <c r="Z628" s="109">
        <f t="shared" si="172"/>
        <v>0</v>
      </c>
      <c r="AA628" s="110">
        <f t="shared" si="164"/>
        <v>0</v>
      </c>
      <c r="AB628" s="110">
        <f>SUM(X628:AA628)</f>
        <v>0</v>
      </c>
      <c r="AC628" s="371" t="s">
        <v>163</v>
      </c>
      <c r="AD628" s="371" t="s">
        <v>154</v>
      </c>
      <c r="AE628" s="371" t="s">
        <v>482</v>
      </c>
      <c r="AF628" s="371"/>
    </row>
    <row r="629" spans="1:32" ht="13.5" hidden="1" thickBot="1" x14ac:dyDescent="0.25">
      <c r="A629" s="14" t="str">
        <f t="shared" ref="A629:A632" si="174">+IF(AB629&lt;&gt;0,"X","")</f>
        <v/>
      </c>
      <c r="B629" s="69" t="s">
        <v>282</v>
      </c>
      <c r="C629" s="15"/>
      <c r="D629" s="349">
        <f t="shared" si="173"/>
        <v>0</v>
      </c>
      <c r="E629" s="248">
        <v>75</v>
      </c>
      <c r="F629" s="186"/>
      <c r="G629" s="85" t="s">
        <v>594</v>
      </c>
      <c r="H629" s="15" t="s">
        <v>134</v>
      </c>
      <c r="I629" s="379"/>
      <c r="J629" s="379"/>
      <c r="K629" s="379"/>
      <c r="L629" s="379"/>
      <c r="M629" s="379"/>
      <c r="N629" s="379"/>
      <c r="O629" s="379"/>
      <c r="P629" s="379"/>
      <c r="Q629" s="379"/>
      <c r="R629" s="379"/>
      <c r="S629" s="27">
        <v>1</v>
      </c>
      <c r="T629" s="7" t="s">
        <v>491</v>
      </c>
      <c r="U629" s="31"/>
      <c r="V629" s="40"/>
      <c r="W629" s="77">
        <f t="shared" si="170"/>
        <v>0</v>
      </c>
      <c r="X629" s="110">
        <f t="shared" si="161"/>
        <v>0</v>
      </c>
      <c r="Y629" s="110">
        <f t="shared" si="171"/>
        <v>0</v>
      </c>
      <c r="Z629" s="109">
        <f t="shared" si="172"/>
        <v>0</v>
      </c>
      <c r="AA629" s="110">
        <f t="shared" si="164"/>
        <v>0</v>
      </c>
      <c r="AB629" s="110">
        <f>SUM(X629:AA629)</f>
        <v>0</v>
      </c>
      <c r="AC629" s="371" t="s">
        <v>163</v>
      </c>
      <c r="AD629" s="371" t="s">
        <v>155</v>
      </c>
      <c r="AE629" s="371" t="s">
        <v>482</v>
      </c>
      <c r="AF629" s="371"/>
    </row>
    <row r="630" spans="1:32" ht="13.5" hidden="1" thickBot="1" x14ac:dyDescent="0.25">
      <c r="A630" s="14" t="str">
        <f t="shared" si="174"/>
        <v/>
      </c>
      <c r="B630" s="69" t="s">
        <v>61</v>
      </c>
      <c r="C630" s="15"/>
      <c r="D630" s="349">
        <f t="shared" si="173"/>
        <v>0</v>
      </c>
      <c r="E630" s="248">
        <v>75</v>
      </c>
      <c r="F630" s="186"/>
      <c r="G630" s="85" t="s">
        <v>594</v>
      </c>
      <c r="H630" s="15" t="s">
        <v>134</v>
      </c>
      <c r="I630" s="379"/>
      <c r="J630" s="379"/>
      <c r="K630" s="379"/>
      <c r="L630" s="379"/>
      <c r="M630" s="379"/>
      <c r="N630" s="379"/>
      <c r="O630" s="379"/>
      <c r="P630" s="379"/>
      <c r="Q630" s="379"/>
      <c r="R630" s="379"/>
      <c r="S630" s="27">
        <v>1</v>
      </c>
      <c r="T630" s="7" t="s">
        <v>491</v>
      </c>
      <c r="U630" s="31"/>
      <c r="V630" s="40"/>
      <c r="W630" s="77">
        <f t="shared" si="170"/>
        <v>0</v>
      </c>
      <c r="X630" s="110">
        <f t="shared" si="161"/>
        <v>0</v>
      </c>
      <c r="Y630" s="110">
        <f t="shared" si="171"/>
        <v>0</v>
      </c>
      <c r="Z630" s="109">
        <f t="shared" si="172"/>
        <v>0</v>
      </c>
      <c r="AA630" s="110">
        <f t="shared" si="164"/>
        <v>0</v>
      </c>
      <c r="AB630" s="110">
        <f>SUM(X630:AA630)</f>
        <v>0</v>
      </c>
      <c r="AC630" s="371" t="s">
        <v>163</v>
      </c>
      <c r="AD630" s="371" t="s">
        <v>155</v>
      </c>
      <c r="AE630" s="371" t="s">
        <v>482</v>
      </c>
      <c r="AF630" s="371"/>
    </row>
    <row r="631" spans="1:32" ht="13.5" hidden="1" thickBot="1" x14ac:dyDescent="0.25">
      <c r="A631" s="14" t="str">
        <f t="shared" si="174"/>
        <v/>
      </c>
      <c r="B631" s="69" t="s">
        <v>668</v>
      </c>
      <c r="C631" s="15"/>
      <c r="D631" s="349">
        <f t="shared" si="173"/>
        <v>0</v>
      </c>
      <c r="E631" s="248">
        <v>75</v>
      </c>
      <c r="F631" s="186"/>
      <c r="G631" s="85" t="s">
        <v>594</v>
      </c>
      <c r="H631" s="15" t="s">
        <v>134</v>
      </c>
      <c r="I631" s="379"/>
      <c r="J631" s="379"/>
      <c r="K631" s="379"/>
      <c r="L631" s="379"/>
      <c r="M631" s="379"/>
      <c r="N631" s="379"/>
      <c r="O631" s="379"/>
      <c r="P631" s="379"/>
      <c r="Q631" s="379"/>
      <c r="R631" s="379"/>
      <c r="S631" s="88">
        <v>1</v>
      </c>
      <c r="T631" s="7" t="s">
        <v>491</v>
      </c>
      <c r="U631" s="31"/>
      <c r="V631" s="31"/>
      <c r="W631" s="77">
        <f t="shared" si="170"/>
        <v>0</v>
      </c>
      <c r="X631" s="109">
        <f t="shared" si="161"/>
        <v>0</v>
      </c>
      <c r="Y631" s="109">
        <f t="shared" si="171"/>
        <v>0</v>
      </c>
      <c r="Z631" s="109">
        <f t="shared" si="172"/>
        <v>0</v>
      </c>
      <c r="AA631" s="109">
        <f t="shared" si="164"/>
        <v>0</v>
      </c>
      <c r="AB631" s="109">
        <f t="shared" ref="AB631:AB637" si="175">SUM(X631:AA631)</f>
        <v>0</v>
      </c>
      <c r="AC631" s="371" t="s">
        <v>163</v>
      </c>
      <c r="AD631" s="371" t="s">
        <v>157</v>
      </c>
      <c r="AE631" s="371" t="s">
        <v>482</v>
      </c>
      <c r="AF631" s="371"/>
    </row>
    <row r="632" spans="1:32" ht="13.5" hidden="1" thickBot="1" x14ac:dyDescent="0.25">
      <c r="A632" s="14" t="str">
        <f t="shared" si="174"/>
        <v/>
      </c>
      <c r="B632" s="69" t="s">
        <v>669</v>
      </c>
      <c r="C632" s="15"/>
      <c r="D632" s="349">
        <f t="shared" si="173"/>
        <v>0</v>
      </c>
      <c r="E632" s="248">
        <v>75</v>
      </c>
      <c r="F632" s="186"/>
      <c r="G632" s="85" t="s">
        <v>594</v>
      </c>
      <c r="H632" s="15" t="s">
        <v>134</v>
      </c>
      <c r="I632" s="379"/>
      <c r="J632" s="379"/>
      <c r="K632" s="379"/>
      <c r="L632" s="379"/>
      <c r="M632" s="379"/>
      <c r="N632" s="379"/>
      <c r="O632" s="379"/>
      <c r="P632" s="379"/>
      <c r="Q632" s="379"/>
      <c r="R632" s="379"/>
      <c r="S632" s="88">
        <v>1</v>
      </c>
      <c r="T632" s="7" t="s">
        <v>491</v>
      </c>
      <c r="U632" s="31"/>
      <c r="V632" s="31"/>
      <c r="W632" s="77">
        <f t="shared" si="170"/>
        <v>0</v>
      </c>
      <c r="X632" s="110">
        <f t="shared" si="161"/>
        <v>0</v>
      </c>
      <c r="Y632" s="110">
        <f t="shared" si="171"/>
        <v>0</v>
      </c>
      <c r="Z632" s="110">
        <f t="shared" si="172"/>
        <v>0</v>
      </c>
      <c r="AA632" s="110">
        <f t="shared" si="164"/>
        <v>0</v>
      </c>
      <c r="AB632" s="110">
        <f t="shared" si="175"/>
        <v>0</v>
      </c>
      <c r="AC632" s="371" t="s">
        <v>163</v>
      </c>
      <c r="AD632" s="371" t="s">
        <v>157</v>
      </c>
      <c r="AE632" s="371" t="s">
        <v>482</v>
      </c>
      <c r="AF632" s="371"/>
    </row>
    <row r="633" spans="1:32" ht="13.5" hidden="1" thickBot="1" x14ac:dyDescent="0.25">
      <c r="A633" s="14" t="str">
        <f>+IF(AB633&lt;&gt;0,"X","")</f>
        <v/>
      </c>
      <c r="B633" s="69" t="s">
        <v>670</v>
      </c>
      <c r="C633" s="15"/>
      <c r="D633" s="349">
        <f t="shared" si="173"/>
        <v>0</v>
      </c>
      <c r="E633" s="248">
        <v>75</v>
      </c>
      <c r="F633" s="186"/>
      <c r="G633" s="85" t="s">
        <v>594</v>
      </c>
      <c r="H633" s="15" t="s">
        <v>134</v>
      </c>
      <c r="I633" s="379"/>
      <c r="J633" s="379"/>
      <c r="K633" s="379"/>
      <c r="L633" s="379"/>
      <c r="M633" s="379"/>
      <c r="N633" s="379"/>
      <c r="O633" s="379"/>
      <c r="P633" s="379"/>
      <c r="Q633" s="379"/>
      <c r="R633" s="379"/>
      <c r="S633" s="88">
        <v>1</v>
      </c>
      <c r="T633" s="7" t="s">
        <v>754</v>
      </c>
      <c r="U633" s="31"/>
      <c r="V633" s="31"/>
      <c r="W633" s="77">
        <f>SUM(I633:R633)</f>
        <v>0</v>
      </c>
      <c r="X633" s="110">
        <f>IF(H633="L",V633*W633,0)</f>
        <v>0</v>
      </c>
      <c r="Y633" s="110">
        <f t="shared" si="171"/>
        <v>0</v>
      </c>
      <c r="Z633" s="110">
        <f>IF(H633="S",S633*W633,0)+IF(H633="SM",S633*W633-Y633,0)</f>
        <v>0</v>
      </c>
      <c r="AA633" s="110">
        <f t="shared" si="164"/>
        <v>0</v>
      </c>
      <c r="AB633" s="110">
        <f>SUM(X633:AA633)</f>
        <v>0</v>
      </c>
      <c r="AC633" s="371" t="s">
        <v>163</v>
      </c>
      <c r="AD633" s="371" t="s">
        <v>158</v>
      </c>
      <c r="AE633" s="371" t="s">
        <v>482</v>
      </c>
      <c r="AF633" s="371"/>
    </row>
    <row r="634" spans="1:32" ht="13.5" hidden="1" thickBot="1" x14ac:dyDescent="0.25">
      <c r="A634" s="14" t="str">
        <f t="shared" ref="A634:A637" si="176">+IF(AB634&lt;&gt;0,"X","")</f>
        <v/>
      </c>
      <c r="B634" s="69" t="s">
        <v>671</v>
      </c>
      <c r="C634" s="15"/>
      <c r="D634" s="349">
        <f t="shared" si="173"/>
        <v>0</v>
      </c>
      <c r="E634" s="248">
        <v>75</v>
      </c>
      <c r="F634" s="186"/>
      <c r="G634" s="85" t="s">
        <v>594</v>
      </c>
      <c r="H634" s="15" t="s">
        <v>134</v>
      </c>
      <c r="I634" s="379"/>
      <c r="J634" s="379"/>
      <c r="K634" s="379"/>
      <c r="L634" s="379"/>
      <c r="M634" s="379"/>
      <c r="N634" s="379"/>
      <c r="O634" s="379"/>
      <c r="P634" s="379"/>
      <c r="Q634" s="379"/>
      <c r="R634" s="379"/>
      <c r="S634" s="88">
        <v>1</v>
      </c>
      <c r="T634" s="7" t="s">
        <v>754</v>
      </c>
      <c r="U634" s="31"/>
      <c r="V634" s="31"/>
      <c r="W634" s="77">
        <f t="shared" si="170"/>
        <v>0</v>
      </c>
      <c r="X634" s="110">
        <f t="shared" si="161"/>
        <v>0</v>
      </c>
      <c r="Y634" s="110">
        <f t="shared" si="171"/>
        <v>0</v>
      </c>
      <c r="Z634" s="110">
        <f t="shared" si="172"/>
        <v>0</v>
      </c>
      <c r="AA634" s="110">
        <f t="shared" si="164"/>
        <v>0</v>
      </c>
      <c r="AB634" s="110">
        <f t="shared" si="175"/>
        <v>0</v>
      </c>
      <c r="AC634" s="371" t="s">
        <v>163</v>
      </c>
      <c r="AD634" s="371" t="s">
        <v>158</v>
      </c>
      <c r="AE634" s="371" t="s">
        <v>482</v>
      </c>
      <c r="AF634" s="371"/>
    </row>
    <row r="635" spans="1:32" ht="13.5" hidden="1" thickBot="1" x14ac:dyDescent="0.25">
      <c r="A635" s="14" t="str">
        <f t="shared" si="176"/>
        <v/>
      </c>
      <c r="B635" s="69" t="s">
        <v>672</v>
      </c>
      <c r="C635" s="15"/>
      <c r="D635" s="349">
        <f t="shared" si="173"/>
        <v>0</v>
      </c>
      <c r="E635" s="248">
        <v>75</v>
      </c>
      <c r="F635" s="186"/>
      <c r="G635" s="85" t="s">
        <v>594</v>
      </c>
      <c r="H635" s="15" t="s">
        <v>134</v>
      </c>
      <c r="I635" s="379"/>
      <c r="J635" s="379"/>
      <c r="K635" s="379"/>
      <c r="L635" s="379"/>
      <c r="M635" s="379"/>
      <c r="N635" s="379"/>
      <c r="O635" s="379"/>
      <c r="P635" s="379"/>
      <c r="Q635" s="379"/>
      <c r="R635" s="379"/>
      <c r="S635" s="88">
        <v>1</v>
      </c>
      <c r="T635" s="7" t="s">
        <v>754</v>
      </c>
      <c r="U635" s="31"/>
      <c r="V635" s="31"/>
      <c r="W635" s="77">
        <f t="shared" si="170"/>
        <v>0</v>
      </c>
      <c r="X635" s="110">
        <f t="shared" si="161"/>
        <v>0</v>
      </c>
      <c r="Y635" s="110">
        <f t="shared" si="171"/>
        <v>0</v>
      </c>
      <c r="Z635" s="110">
        <f t="shared" si="172"/>
        <v>0</v>
      </c>
      <c r="AA635" s="110">
        <f t="shared" si="164"/>
        <v>0</v>
      </c>
      <c r="AB635" s="110">
        <f t="shared" si="175"/>
        <v>0</v>
      </c>
      <c r="AC635" s="371" t="s">
        <v>163</v>
      </c>
      <c r="AD635" s="371" t="s">
        <v>158</v>
      </c>
      <c r="AE635" s="371" t="s">
        <v>482</v>
      </c>
      <c r="AF635" s="371"/>
    </row>
    <row r="636" spans="1:32" ht="13.5" hidden="1" thickBot="1" x14ac:dyDescent="0.25">
      <c r="A636" s="14" t="str">
        <f t="shared" si="176"/>
        <v/>
      </c>
      <c r="B636" s="69" t="s">
        <v>666</v>
      </c>
      <c r="C636" s="15"/>
      <c r="D636" s="349">
        <f t="shared" si="173"/>
        <v>0</v>
      </c>
      <c r="E636" s="248">
        <v>75</v>
      </c>
      <c r="F636" s="186"/>
      <c r="G636" s="85" t="s">
        <v>594</v>
      </c>
      <c r="H636" s="15" t="s">
        <v>134</v>
      </c>
      <c r="I636" s="379"/>
      <c r="J636" s="379"/>
      <c r="K636" s="379"/>
      <c r="L636" s="379"/>
      <c r="M636" s="379"/>
      <c r="N636" s="379"/>
      <c r="O636" s="379"/>
      <c r="P636" s="379"/>
      <c r="Q636" s="379"/>
      <c r="R636" s="379"/>
      <c r="S636" s="88">
        <v>1</v>
      </c>
      <c r="T636" s="7" t="s">
        <v>755</v>
      </c>
      <c r="U636" s="31"/>
      <c r="V636" s="31"/>
      <c r="W636" s="77">
        <f t="shared" si="170"/>
        <v>0</v>
      </c>
      <c r="X636" s="110">
        <f t="shared" si="161"/>
        <v>0</v>
      </c>
      <c r="Y636" s="110">
        <f t="shared" si="171"/>
        <v>0</v>
      </c>
      <c r="Z636" s="110">
        <f t="shared" si="172"/>
        <v>0</v>
      </c>
      <c r="AA636" s="110">
        <f t="shared" si="164"/>
        <v>0</v>
      </c>
      <c r="AB636" s="110">
        <f t="shared" si="175"/>
        <v>0</v>
      </c>
      <c r="AC636" s="371" t="s">
        <v>163</v>
      </c>
      <c r="AD636" s="371" t="s">
        <v>159</v>
      </c>
      <c r="AE636" s="371" t="s">
        <v>482</v>
      </c>
      <c r="AF636" s="371"/>
    </row>
    <row r="637" spans="1:32" ht="13.5" hidden="1" thickBot="1" x14ac:dyDescent="0.25">
      <c r="A637" s="14" t="str">
        <f t="shared" si="176"/>
        <v/>
      </c>
      <c r="B637" s="69" t="s">
        <v>667</v>
      </c>
      <c r="C637" s="15"/>
      <c r="D637" s="349">
        <f t="shared" si="173"/>
        <v>0</v>
      </c>
      <c r="E637" s="248">
        <v>75</v>
      </c>
      <c r="F637" s="186"/>
      <c r="G637" s="85" t="s">
        <v>594</v>
      </c>
      <c r="H637" s="15" t="s">
        <v>134</v>
      </c>
      <c r="I637" s="379"/>
      <c r="J637" s="379"/>
      <c r="K637" s="379"/>
      <c r="L637" s="379"/>
      <c r="M637" s="379"/>
      <c r="N637" s="379"/>
      <c r="O637" s="379"/>
      <c r="P637" s="379"/>
      <c r="Q637" s="379"/>
      <c r="R637" s="379"/>
      <c r="S637" s="88">
        <v>1</v>
      </c>
      <c r="T637" s="7" t="s">
        <v>755</v>
      </c>
      <c r="U637" s="31"/>
      <c r="V637" s="31"/>
      <c r="W637" s="77">
        <f t="shared" si="170"/>
        <v>0</v>
      </c>
      <c r="X637" s="110">
        <f t="shared" si="161"/>
        <v>0</v>
      </c>
      <c r="Y637" s="110">
        <f t="shared" si="171"/>
        <v>0</v>
      </c>
      <c r="Z637" s="110">
        <f t="shared" si="172"/>
        <v>0</v>
      </c>
      <c r="AA637" s="110">
        <f t="shared" si="164"/>
        <v>0</v>
      </c>
      <c r="AB637" s="110">
        <f t="shared" si="175"/>
        <v>0</v>
      </c>
      <c r="AC637" s="371" t="s">
        <v>163</v>
      </c>
      <c r="AD637" s="371" t="s">
        <v>160</v>
      </c>
      <c r="AE637" s="371" t="s">
        <v>482</v>
      </c>
      <c r="AF637" s="371"/>
    </row>
    <row r="638" spans="1:32" ht="13.5" hidden="1" thickBot="1" x14ac:dyDescent="0.25">
      <c r="A638" s="14" t="str">
        <f>+IF(AB638&lt;&gt;0,"X","")</f>
        <v/>
      </c>
      <c r="B638" s="70" t="s">
        <v>283</v>
      </c>
      <c r="C638" s="15"/>
      <c r="D638" s="349">
        <f t="shared" si="173"/>
        <v>0</v>
      </c>
      <c r="E638" s="248">
        <v>75</v>
      </c>
      <c r="F638" s="186"/>
      <c r="G638" s="85" t="s">
        <v>594</v>
      </c>
      <c r="H638" s="15" t="s">
        <v>134</v>
      </c>
      <c r="I638" s="379"/>
      <c r="J638" s="379"/>
      <c r="K638" s="379"/>
      <c r="L638" s="379"/>
      <c r="M638" s="379"/>
      <c r="N638" s="379"/>
      <c r="O638" s="379"/>
      <c r="P638" s="379"/>
      <c r="Q638" s="379"/>
      <c r="R638" s="379"/>
      <c r="S638" s="88">
        <v>1</v>
      </c>
      <c r="T638" s="7" t="s">
        <v>754</v>
      </c>
      <c r="U638" s="31"/>
      <c r="V638" s="31"/>
      <c r="W638" s="77">
        <f t="shared" si="170"/>
        <v>0</v>
      </c>
      <c r="X638" s="110">
        <f t="shared" si="161"/>
        <v>0</v>
      </c>
      <c r="Y638" s="110">
        <f t="shared" si="171"/>
        <v>0</v>
      </c>
      <c r="Z638" s="110">
        <f t="shared" si="172"/>
        <v>0</v>
      </c>
      <c r="AA638" s="110">
        <f t="shared" si="164"/>
        <v>0</v>
      </c>
      <c r="AB638" s="110">
        <f t="shared" ref="AB638" si="177">SUM(X638:AA638)</f>
        <v>0</v>
      </c>
      <c r="AC638" s="371" t="s">
        <v>163</v>
      </c>
      <c r="AD638" s="371" t="s">
        <v>161</v>
      </c>
      <c r="AE638" s="371" t="s">
        <v>482</v>
      </c>
      <c r="AF638" s="371"/>
    </row>
    <row r="639" spans="1:32" ht="13.5" hidden="1" thickBot="1" x14ac:dyDescent="0.25">
      <c r="A639" s="14" t="str">
        <f>IF(SUM(AB638:AB642)&lt;&gt;0,"X","")</f>
        <v/>
      </c>
      <c r="B639" s="198" t="s">
        <v>284</v>
      </c>
      <c r="C639" s="200" t="s">
        <v>13</v>
      </c>
      <c r="D639" s="207"/>
      <c r="E639" s="199"/>
      <c r="F639" s="200"/>
      <c r="G639" s="200"/>
      <c r="H639" s="200"/>
      <c r="I639" s="200"/>
      <c r="J639" s="200"/>
      <c r="K639" s="200"/>
      <c r="L639" s="200"/>
      <c r="M639" s="200"/>
      <c r="N639" s="200"/>
      <c r="O639" s="200"/>
      <c r="P639" s="200"/>
      <c r="Q639" s="200"/>
      <c r="R639" s="200"/>
      <c r="S639" s="200"/>
      <c r="T639" s="200"/>
      <c r="U639" s="201"/>
      <c r="V639" s="202"/>
      <c r="W639" s="203"/>
      <c r="X639" s="204">
        <f t="shared" si="161"/>
        <v>0</v>
      </c>
      <c r="Y639" s="204">
        <f t="shared" ref="Y639:Y673" si="178">IF(H639="M",S639*W639,0)</f>
        <v>0</v>
      </c>
      <c r="Z639" s="204">
        <f t="shared" ref="Z639:Z673" si="179">IF(H639="S",S639*W639,0)</f>
        <v>0</v>
      </c>
      <c r="AA639" s="204">
        <f t="shared" si="164"/>
        <v>0</v>
      </c>
      <c r="AB639" s="205"/>
      <c r="AC639" s="369"/>
      <c r="AD639" s="369"/>
      <c r="AE639" s="369" t="s">
        <v>13</v>
      </c>
      <c r="AF639" s="369"/>
    </row>
    <row r="640" spans="1:32" ht="13.5" hidden="1" thickBot="1" x14ac:dyDescent="0.25">
      <c r="A640" s="14" t="str">
        <f t="shared" ref="A640:A642" si="180">+IF(AB640&lt;&gt;0,"X","")</f>
        <v/>
      </c>
      <c r="B640" s="69" t="s">
        <v>614</v>
      </c>
      <c r="C640" s="15"/>
      <c r="D640" s="242"/>
      <c r="E640" s="67"/>
      <c r="F640" s="21"/>
      <c r="G640" s="85" t="s">
        <v>608</v>
      </c>
      <c r="H640" s="15" t="s">
        <v>66</v>
      </c>
      <c r="I640" s="381"/>
      <c r="J640" s="390"/>
      <c r="K640" s="390"/>
      <c r="L640" s="390"/>
      <c r="M640" s="390"/>
      <c r="N640" s="390"/>
      <c r="O640" s="390"/>
      <c r="P640" s="390"/>
      <c r="Q640" s="390"/>
      <c r="R640" s="390"/>
      <c r="S640" s="88">
        <v>1</v>
      </c>
      <c r="T640" s="7" t="s">
        <v>491</v>
      </c>
      <c r="U640" s="31">
        <f>SUM(I640:R640)/35</f>
        <v>0</v>
      </c>
      <c r="V640" s="160">
        <f>S640*U640</f>
        <v>0</v>
      </c>
      <c r="W640" s="35">
        <f>35/Rate!I33</f>
        <v>20.139396598317582</v>
      </c>
      <c r="X640" s="110">
        <f t="shared" si="161"/>
        <v>0</v>
      </c>
      <c r="Y640" s="110">
        <f t="shared" si="178"/>
        <v>0</v>
      </c>
      <c r="Z640" s="110">
        <f t="shared" si="179"/>
        <v>0</v>
      </c>
      <c r="AA640" s="110">
        <f t="shared" si="164"/>
        <v>0</v>
      </c>
      <c r="AB640" s="110">
        <f>SUM(X640:AA640)</f>
        <v>0</v>
      </c>
      <c r="AC640" s="371" t="s">
        <v>163</v>
      </c>
      <c r="AD640" s="371" t="s">
        <v>161</v>
      </c>
      <c r="AE640" s="371" t="s">
        <v>149</v>
      </c>
      <c r="AF640" s="371"/>
    </row>
    <row r="641" spans="1:32" ht="13.5" hidden="1" thickBot="1" x14ac:dyDescent="0.25">
      <c r="A641" s="14" t="str">
        <f t="shared" ref="A641" si="181">+IF(AB641&lt;&gt;0,"X","")</f>
        <v/>
      </c>
      <c r="B641" s="69" t="s">
        <v>615</v>
      </c>
      <c r="C641" s="15"/>
      <c r="D641" s="245"/>
      <c r="E641" s="67"/>
      <c r="F641" s="21" t="s">
        <v>92</v>
      </c>
      <c r="G641" s="85">
        <v>1</v>
      </c>
      <c r="H641" s="15" t="s">
        <v>68</v>
      </c>
      <c r="I641" s="381"/>
      <c r="J641" s="390"/>
      <c r="K641" s="390"/>
      <c r="L641" s="390"/>
      <c r="M641" s="390"/>
      <c r="N641" s="390"/>
      <c r="O641" s="390"/>
      <c r="P641" s="390"/>
      <c r="Q641" s="390"/>
      <c r="R641" s="390"/>
      <c r="S641" s="88">
        <v>1</v>
      </c>
      <c r="T641" s="7" t="s">
        <v>491</v>
      </c>
      <c r="U641" s="27"/>
      <c r="V641" s="31"/>
      <c r="W641" s="35">
        <f>SUM(I641:R641)/((1+$AA$846)*(1+$AA$849)*(1+$AA$851)+$W$904)</f>
        <v>0</v>
      </c>
      <c r="X641" s="110">
        <f t="shared" si="161"/>
        <v>0</v>
      </c>
      <c r="Y641" s="110">
        <f t="shared" si="178"/>
        <v>0</v>
      </c>
      <c r="Z641" s="110">
        <f t="shared" si="179"/>
        <v>0</v>
      </c>
      <c r="AA641" s="110">
        <f t="shared" si="164"/>
        <v>0</v>
      </c>
      <c r="AB641" s="110">
        <f>SUM(X641:AA641)</f>
        <v>0</v>
      </c>
      <c r="AC641" s="371" t="s">
        <v>163</v>
      </c>
      <c r="AD641" s="371" t="s">
        <v>161</v>
      </c>
      <c r="AE641" s="371"/>
      <c r="AF641" s="371"/>
    </row>
    <row r="642" spans="1:32" ht="13.5" hidden="1" thickBot="1" x14ac:dyDescent="0.25">
      <c r="A642" s="14" t="str">
        <f t="shared" si="180"/>
        <v/>
      </c>
      <c r="B642" s="69" t="s">
        <v>616</v>
      </c>
      <c r="C642" s="350"/>
      <c r="D642" s="243"/>
      <c r="E642" s="67"/>
      <c r="F642" s="21"/>
      <c r="G642" s="85" t="s">
        <v>608</v>
      </c>
      <c r="H642" s="384" t="s">
        <v>65</v>
      </c>
      <c r="I642" s="379"/>
      <c r="J642" s="379"/>
      <c r="K642" s="379"/>
      <c r="L642" s="379"/>
      <c r="M642" s="379"/>
      <c r="N642" s="379"/>
      <c r="O642" s="379"/>
      <c r="P642" s="379"/>
      <c r="Q642" s="379"/>
      <c r="R642" s="379"/>
      <c r="S642" s="7">
        <v>1</v>
      </c>
      <c r="T642" s="7" t="s">
        <v>491</v>
      </c>
      <c r="U642" s="66"/>
      <c r="V642" s="31"/>
      <c r="W642" s="78">
        <f>SUM(I642:R642)/((1+$Y$846)*(1+$Y$849)*(1+$Y$851))</f>
        <v>0</v>
      </c>
      <c r="X642" s="110">
        <f t="shared" si="161"/>
        <v>0</v>
      </c>
      <c r="Y642" s="110">
        <f t="shared" si="178"/>
        <v>0</v>
      </c>
      <c r="Z642" s="110">
        <f t="shared" si="179"/>
        <v>0</v>
      </c>
      <c r="AA642" s="110">
        <f t="shared" si="164"/>
        <v>0</v>
      </c>
      <c r="AB642" s="110">
        <f>SUM(X642:AA642)</f>
        <v>0</v>
      </c>
      <c r="AC642" s="385" t="s">
        <v>163</v>
      </c>
      <c r="AD642" s="385" t="s">
        <v>161</v>
      </c>
      <c r="AE642" s="383" t="s">
        <v>13</v>
      </c>
      <c r="AF642" s="385"/>
    </row>
    <row r="643" spans="1:32" ht="13.5" thickBot="1" x14ac:dyDescent="0.25">
      <c r="A643" s="14" t="str">
        <f>IF(SUM(AB644:AB646)&lt;&gt;0,"X","")</f>
        <v>X</v>
      </c>
      <c r="B643" s="198" t="s">
        <v>285</v>
      </c>
      <c r="C643" s="200" t="s">
        <v>13</v>
      </c>
      <c r="D643" s="207"/>
      <c r="E643" s="199"/>
      <c r="F643" s="200"/>
      <c r="G643" s="200"/>
      <c r="H643" s="200"/>
      <c r="I643" s="200"/>
      <c r="J643" s="200"/>
      <c r="K643" s="200"/>
      <c r="L643" s="200"/>
      <c r="M643" s="200"/>
      <c r="N643" s="200"/>
      <c r="O643" s="200"/>
      <c r="P643" s="200"/>
      <c r="Q643" s="200"/>
      <c r="R643" s="200"/>
      <c r="S643" s="200"/>
      <c r="T643" s="200"/>
      <c r="U643" s="208"/>
      <c r="V643" s="206"/>
      <c r="W643" s="203"/>
      <c r="X643" s="204">
        <f t="shared" ref="X643:X678" si="182">IF(H643="L",V643*W643,0)</f>
        <v>0</v>
      </c>
      <c r="Y643" s="204">
        <f t="shared" si="178"/>
        <v>0</v>
      </c>
      <c r="Z643" s="204">
        <f t="shared" si="179"/>
        <v>0</v>
      </c>
      <c r="AA643" s="204">
        <f t="shared" ref="AA643:AA678" si="183">IF(H643="E",G643*S643*W643,0)</f>
        <v>0</v>
      </c>
      <c r="AB643" s="205"/>
      <c r="AC643" s="369"/>
      <c r="AD643" s="369"/>
      <c r="AE643" s="369" t="s">
        <v>13</v>
      </c>
      <c r="AF643" s="369"/>
    </row>
    <row r="644" spans="1:32" hidden="1" x14ac:dyDescent="0.2">
      <c r="A644" s="14" t="str">
        <f>+IF(AB644&lt;&gt;0,"X","")</f>
        <v/>
      </c>
      <c r="B644" s="70" t="s">
        <v>515</v>
      </c>
      <c r="C644" s="15"/>
      <c r="D644" s="349">
        <f>Z644/E644</f>
        <v>0</v>
      </c>
      <c r="E644" s="248">
        <v>53</v>
      </c>
      <c r="F644" s="258">
        <v>0</v>
      </c>
      <c r="G644" s="85" t="s">
        <v>594</v>
      </c>
      <c r="H644" s="15" t="s">
        <v>67</v>
      </c>
      <c r="I644" s="379"/>
      <c r="J644" s="379"/>
      <c r="K644" s="379"/>
      <c r="L644" s="379"/>
      <c r="M644" s="379"/>
      <c r="N644" s="379"/>
      <c r="O644" s="379"/>
      <c r="P644" s="379"/>
      <c r="Q644" s="379"/>
      <c r="R644" s="379"/>
      <c r="S644" s="88">
        <v>1</v>
      </c>
      <c r="T644" s="7" t="s">
        <v>491</v>
      </c>
      <c r="U644" s="66"/>
      <c r="V644" s="31"/>
      <c r="W644" s="78">
        <f>SUM(I644:R644)</f>
        <v>0</v>
      </c>
      <c r="X644" s="109">
        <f t="shared" si="182"/>
        <v>0</v>
      </c>
      <c r="Y644" s="109">
        <f t="shared" si="178"/>
        <v>0</v>
      </c>
      <c r="Z644" s="115">
        <f t="shared" si="179"/>
        <v>0</v>
      </c>
      <c r="AA644" s="109">
        <f t="shared" si="183"/>
        <v>0</v>
      </c>
      <c r="AB644" s="109">
        <f>SUM(X644:AA644)</f>
        <v>0</v>
      </c>
      <c r="AC644" s="371" t="s">
        <v>163</v>
      </c>
      <c r="AD644" s="371" t="s">
        <v>156</v>
      </c>
      <c r="AE644" s="371" t="s">
        <v>482</v>
      </c>
      <c r="AF644" s="371"/>
    </row>
    <row r="645" spans="1:32" x14ac:dyDescent="0.2">
      <c r="A645" s="14" t="str">
        <f>+IF(AB645&lt;&gt;0,"X","")</f>
        <v>X</v>
      </c>
      <c r="B645" s="70" t="s">
        <v>286</v>
      </c>
      <c r="C645" s="15" t="s">
        <v>744</v>
      </c>
      <c r="D645" s="242"/>
      <c r="E645" s="25"/>
      <c r="F645" s="26"/>
      <c r="G645" s="85">
        <v>1</v>
      </c>
      <c r="H645" s="28" t="s">
        <v>68</v>
      </c>
      <c r="I645" s="379">
        <f>5%*400*50%*I646</f>
        <v>1500</v>
      </c>
      <c r="J645" s="379">
        <f t="shared" ref="J645:R645" si="184">5%*400*50%*J646</f>
        <v>3000</v>
      </c>
      <c r="K645" s="379">
        <f t="shared" si="184"/>
        <v>0</v>
      </c>
      <c r="L645" s="379">
        <f t="shared" si="184"/>
        <v>0</v>
      </c>
      <c r="M645" s="379">
        <f t="shared" si="184"/>
        <v>0</v>
      </c>
      <c r="N645" s="379">
        <f t="shared" si="184"/>
        <v>0</v>
      </c>
      <c r="O645" s="379">
        <f t="shared" si="184"/>
        <v>0</v>
      </c>
      <c r="P645" s="379">
        <f t="shared" si="184"/>
        <v>0</v>
      </c>
      <c r="Q645" s="379">
        <f t="shared" si="184"/>
        <v>0</v>
      </c>
      <c r="R645" s="379">
        <f t="shared" si="184"/>
        <v>0</v>
      </c>
      <c r="S645" s="19">
        <v>1</v>
      </c>
      <c r="T645" s="19" t="s">
        <v>491</v>
      </c>
      <c r="U645" s="133"/>
      <c r="V645" s="93">
        <f>S645*U645</f>
        <v>0</v>
      </c>
      <c r="W645" s="125">
        <f>IF(AND(SUM(I645:R645)&lt;650,SUM(I645:R645)),650,SUM(H645:R645))</f>
        <v>4500</v>
      </c>
      <c r="X645" s="109">
        <f t="shared" si="182"/>
        <v>0</v>
      </c>
      <c r="Y645" s="109">
        <f t="shared" si="178"/>
        <v>0</v>
      </c>
      <c r="Z645" s="115">
        <f t="shared" si="179"/>
        <v>0</v>
      </c>
      <c r="AA645" s="109">
        <f t="shared" si="183"/>
        <v>4500</v>
      </c>
      <c r="AB645" s="109">
        <f>SUM(X645:AA645)</f>
        <v>4500</v>
      </c>
      <c r="AC645" s="386" t="s">
        <v>163</v>
      </c>
      <c r="AD645" s="386" t="s">
        <v>174</v>
      </c>
      <c r="AE645" s="386"/>
      <c r="AF645" s="386"/>
    </row>
    <row r="646" spans="1:32" ht="13.5" thickBot="1" x14ac:dyDescent="0.25">
      <c r="A646" s="14" t="str">
        <f>+IF(AB646&lt;&gt;0,"X","")</f>
        <v>X</v>
      </c>
      <c r="B646" s="69" t="s">
        <v>286</v>
      </c>
      <c r="C646" s="15" t="s">
        <v>744</v>
      </c>
      <c r="D646" s="242"/>
      <c r="E646" s="20"/>
      <c r="F646" s="21"/>
      <c r="G646" s="85" t="s">
        <v>605</v>
      </c>
      <c r="H646" s="15" t="s">
        <v>66</v>
      </c>
      <c r="I646" s="15">
        <f t="shared" ref="I646:R646" si="185">50%*SUM(I3:I184)+I561/20</f>
        <v>150</v>
      </c>
      <c r="J646" s="15">
        <f t="shared" si="185"/>
        <v>300</v>
      </c>
      <c r="K646" s="15">
        <f t="shared" si="185"/>
        <v>0</v>
      </c>
      <c r="L646" s="15">
        <f t="shared" si="185"/>
        <v>0</v>
      </c>
      <c r="M646" s="15">
        <f t="shared" si="185"/>
        <v>0</v>
      </c>
      <c r="N646" s="15">
        <f t="shared" si="185"/>
        <v>0</v>
      </c>
      <c r="O646" s="15">
        <f t="shared" si="185"/>
        <v>0</v>
      </c>
      <c r="P646" s="15">
        <f t="shared" si="185"/>
        <v>0</v>
      </c>
      <c r="Q646" s="15">
        <f t="shared" si="185"/>
        <v>0</v>
      </c>
      <c r="R646" s="15">
        <f t="shared" si="185"/>
        <v>0</v>
      </c>
      <c r="S646" s="88">
        <f>SUM(I646:R646)</f>
        <v>450</v>
      </c>
      <c r="T646" s="7" t="s">
        <v>493</v>
      </c>
      <c r="U646" s="135">
        <v>2</v>
      </c>
      <c r="V646" s="31">
        <f>S646*U646</f>
        <v>900</v>
      </c>
      <c r="W646" s="35">
        <f>Rate!D$22</f>
        <v>24</v>
      </c>
      <c r="X646" s="110">
        <f t="shared" si="182"/>
        <v>21600</v>
      </c>
      <c r="Y646" s="110">
        <f t="shared" si="178"/>
        <v>0</v>
      </c>
      <c r="Z646" s="110">
        <f t="shared" si="179"/>
        <v>0</v>
      </c>
      <c r="AA646" s="110">
        <f t="shared" si="183"/>
        <v>0</v>
      </c>
      <c r="AB646" s="110">
        <f>SUM(X646:AA646)</f>
        <v>21600</v>
      </c>
      <c r="AC646" s="371" t="s">
        <v>163</v>
      </c>
      <c r="AD646" s="371" t="s">
        <v>148</v>
      </c>
      <c r="AE646" s="371" t="s">
        <v>149</v>
      </c>
      <c r="AF646" s="371"/>
    </row>
    <row r="647" spans="1:32" ht="13.5" hidden="1" thickBot="1" x14ac:dyDescent="0.25">
      <c r="A647" s="14" t="str">
        <f>IF(SUM(AB648:AB663)&lt;&gt;0,"X","")</f>
        <v/>
      </c>
      <c r="B647" s="198" t="s">
        <v>81</v>
      </c>
      <c r="C647" s="200" t="s">
        <v>13</v>
      </c>
      <c r="D647" s="207"/>
      <c r="E647" s="199"/>
      <c r="F647" s="217" t="s">
        <v>64</v>
      </c>
      <c r="G647" s="217" t="s">
        <v>70</v>
      </c>
      <c r="H647" s="199"/>
      <c r="I647" s="199"/>
      <c r="J647" s="199"/>
      <c r="K647" s="199"/>
      <c r="L647" s="199"/>
      <c r="M647" s="199"/>
      <c r="N647" s="199"/>
      <c r="O647" s="199"/>
      <c r="P647" s="199"/>
      <c r="Q647" s="199"/>
      <c r="R647" s="199"/>
      <c r="S647" s="199"/>
      <c r="T647" s="200"/>
      <c r="U647" s="208"/>
      <c r="V647" s="206"/>
      <c r="W647" s="203"/>
      <c r="X647" s="204">
        <f t="shared" si="182"/>
        <v>0</v>
      </c>
      <c r="Y647" s="204">
        <f t="shared" si="178"/>
        <v>0</v>
      </c>
      <c r="Z647" s="204">
        <f t="shared" si="179"/>
        <v>0</v>
      </c>
      <c r="AA647" s="204">
        <f t="shared" si="183"/>
        <v>0</v>
      </c>
      <c r="AB647" s="205"/>
      <c r="AC647" s="369"/>
      <c r="AD647" s="369"/>
      <c r="AE647" s="369" t="s">
        <v>13</v>
      </c>
      <c r="AF647" s="369"/>
    </row>
    <row r="648" spans="1:32" ht="13.5" hidden="1" thickBot="1" x14ac:dyDescent="0.25">
      <c r="A648" s="14" t="str">
        <f t="shared" ref="A648:A663" si="186">+IF(AB648&lt;&gt;0,"X","")</f>
        <v/>
      </c>
      <c r="B648" s="70" t="s">
        <v>287</v>
      </c>
      <c r="C648" s="15"/>
      <c r="D648" s="242"/>
      <c r="E648" s="229"/>
      <c r="F648" s="290">
        <f>0.6/7*$C$920/_sch_Mech_Wks/$S$830</f>
        <v>0.56671071428571418</v>
      </c>
      <c r="G648" s="146">
        <f t="shared" ref="G648:G655" si="187">$D$948</f>
        <v>60</v>
      </c>
      <c r="H648" s="15" t="s">
        <v>66</v>
      </c>
      <c r="I648" s="391"/>
      <c r="J648" s="392"/>
      <c r="K648" s="392"/>
      <c r="L648" s="392"/>
      <c r="M648" s="392"/>
      <c r="N648" s="392"/>
      <c r="O648" s="392"/>
      <c r="P648" s="392"/>
      <c r="Q648" s="392"/>
      <c r="R648" s="392"/>
      <c r="S648" s="33"/>
      <c r="T648" s="19" t="s">
        <v>493</v>
      </c>
      <c r="U648" s="133">
        <f t="shared" ref="U648:U663" si="188">$S$829</f>
        <v>10</v>
      </c>
      <c r="V648" s="93">
        <f t="shared" ref="V648:V663" si="189">G648*S648*U648</f>
        <v>0</v>
      </c>
      <c r="W648" s="123">
        <f>Rate!$D$21</f>
        <v>18</v>
      </c>
      <c r="X648" s="109">
        <f t="shared" si="182"/>
        <v>0</v>
      </c>
      <c r="Y648" s="109">
        <f t="shared" si="178"/>
        <v>0</v>
      </c>
      <c r="Z648" s="109">
        <f t="shared" si="179"/>
        <v>0</v>
      </c>
      <c r="AA648" s="109">
        <f t="shared" si="183"/>
        <v>0</v>
      </c>
      <c r="AB648" s="109">
        <f t="shared" ref="AB648:AB663" si="190">SUM(X648:AA648)</f>
        <v>0</v>
      </c>
      <c r="AC648" s="371" t="s">
        <v>163</v>
      </c>
      <c r="AD648" s="371" t="s">
        <v>170</v>
      </c>
      <c r="AE648" s="371" t="s">
        <v>153</v>
      </c>
      <c r="AF648" s="371"/>
    </row>
    <row r="649" spans="1:32" ht="13.5" hidden="1" thickBot="1" x14ac:dyDescent="0.25">
      <c r="A649" s="14" t="str">
        <f t="shared" si="186"/>
        <v/>
      </c>
      <c r="B649" s="69" t="s">
        <v>288</v>
      </c>
      <c r="C649" s="15"/>
      <c r="D649" s="242"/>
      <c r="E649" s="228"/>
      <c r="F649" s="80">
        <f>1/7*$C$920/_sch_Mech_Wks/$S$830</f>
        <v>0.94451785714285719</v>
      </c>
      <c r="G649" s="146">
        <f t="shared" si="187"/>
        <v>60</v>
      </c>
      <c r="H649" s="15" t="s">
        <v>66</v>
      </c>
      <c r="I649" s="227"/>
      <c r="J649" s="227"/>
      <c r="K649" s="227"/>
      <c r="L649" s="227"/>
      <c r="M649" s="227"/>
      <c r="N649" s="227"/>
      <c r="O649" s="227"/>
      <c r="P649" s="227"/>
      <c r="Q649" s="227"/>
      <c r="R649" s="227"/>
      <c r="S649" s="34"/>
      <c r="T649" s="19" t="s">
        <v>493</v>
      </c>
      <c r="U649" s="66">
        <f t="shared" si="188"/>
        <v>10</v>
      </c>
      <c r="V649" s="31">
        <f t="shared" si="189"/>
        <v>0</v>
      </c>
      <c r="W649" s="35">
        <f>Rate!$D$21</f>
        <v>18</v>
      </c>
      <c r="X649" s="110">
        <f t="shared" si="182"/>
        <v>0</v>
      </c>
      <c r="Y649" s="110">
        <f t="shared" si="178"/>
        <v>0</v>
      </c>
      <c r="Z649" s="110">
        <f t="shared" si="179"/>
        <v>0</v>
      </c>
      <c r="AA649" s="110">
        <f t="shared" si="183"/>
        <v>0</v>
      </c>
      <c r="AB649" s="110">
        <f t="shared" si="190"/>
        <v>0</v>
      </c>
      <c r="AC649" s="371" t="s">
        <v>163</v>
      </c>
      <c r="AD649" s="371" t="s">
        <v>170</v>
      </c>
      <c r="AE649" s="371" t="s">
        <v>153</v>
      </c>
      <c r="AF649" s="371"/>
    </row>
    <row r="650" spans="1:32" ht="13.5" hidden="1" thickBot="1" x14ac:dyDescent="0.25">
      <c r="A650" s="14" t="str">
        <f t="shared" si="186"/>
        <v/>
      </c>
      <c r="B650" s="69" t="s">
        <v>289</v>
      </c>
      <c r="C650" s="15"/>
      <c r="D650" s="242"/>
      <c r="E650" s="20"/>
      <c r="F650" s="80">
        <f>(1/12*$C$920+1/20*SUM($C$926:$C$929))/_sch_Mech_Wks/$S$830</f>
        <v>0.5509687499999999</v>
      </c>
      <c r="G650" s="146">
        <f t="shared" si="187"/>
        <v>60</v>
      </c>
      <c r="H650" s="15" t="s">
        <v>66</v>
      </c>
      <c r="I650" s="227"/>
      <c r="J650" s="227"/>
      <c r="K650" s="227"/>
      <c r="L650" s="227"/>
      <c r="M650" s="227"/>
      <c r="N650" s="227"/>
      <c r="O650" s="227"/>
      <c r="P650" s="227"/>
      <c r="Q650" s="227"/>
      <c r="R650" s="227"/>
      <c r="S650" s="34"/>
      <c r="T650" s="19" t="s">
        <v>493</v>
      </c>
      <c r="U650" s="66">
        <f t="shared" si="188"/>
        <v>10</v>
      </c>
      <c r="V650" s="31">
        <f t="shared" si="189"/>
        <v>0</v>
      </c>
      <c r="W650" s="35">
        <f>Rate!D$3</f>
        <v>34.5</v>
      </c>
      <c r="X650" s="110">
        <f t="shared" si="182"/>
        <v>0</v>
      </c>
      <c r="Y650" s="110">
        <f t="shared" si="178"/>
        <v>0</v>
      </c>
      <c r="Z650" s="110">
        <f t="shared" si="179"/>
        <v>0</v>
      </c>
      <c r="AA650" s="110">
        <f t="shared" si="183"/>
        <v>0</v>
      </c>
      <c r="AB650" s="110">
        <f t="shared" si="190"/>
        <v>0</v>
      </c>
      <c r="AC650" s="371" t="s">
        <v>163</v>
      </c>
      <c r="AD650" s="371" t="s">
        <v>170</v>
      </c>
      <c r="AE650" s="371" t="s">
        <v>153</v>
      </c>
      <c r="AF650" s="371"/>
    </row>
    <row r="651" spans="1:32" ht="13.5" hidden="1" thickBot="1" x14ac:dyDescent="0.25">
      <c r="A651" s="14" t="str">
        <f t="shared" ref="A651:A652" si="191">+IF(AB651&lt;&gt;0,"X","")</f>
        <v/>
      </c>
      <c r="B651" s="69" t="s">
        <v>369</v>
      </c>
      <c r="C651" s="15"/>
      <c r="D651" s="242"/>
      <c r="E651" s="20"/>
      <c r="F651" s="80">
        <f>(1/12*$C$920+1/20*SUM($C$926:$C$929))/_sch_Mech_Wks/$S$830</f>
        <v>0.5509687499999999</v>
      </c>
      <c r="G651" s="146">
        <f t="shared" si="187"/>
        <v>60</v>
      </c>
      <c r="H651" s="15" t="s">
        <v>66</v>
      </c>
      <c r="I651" s="227"/>
      <c r="J651" s="227"/>
      <c r="K651" s="227"/>
      <c r="L651" s="227"/>
      <c r="M651" s="227"/>
      <c r="N651" s="227"/>
      <c r="O651" s="227"/>
      <c r="P651" s="227"/>
      <c r="Q651" s="227"/>
      <c r="R651" s="227"/>
      <c r="S651" s="34"/>
      <c r="T651" s="19" t="s">
        <v>493</v>
      </c>
      <c r="U651" s="66">
        <f t="shared" si="188"/>
        <v>10</v>
      </c>
      <c r="V651" s="31">
        <f t="shared" ref="V651:V652" si="192">G651*S651*U651</f>
        <v>0</v>
      </c>
      <c r="W651" s="35">
        <f>Rate!D18</f>
        <v>37</v>
      </c>
      <c r="X651" s="110">
        <f t="shared" ref="X651:X652" si="193">IF(H651="L",V651*W651,0)</f>
        <v>0</v>
      </c>
      <c r="Y651" s="110">
        <f t="shared" ref="Y651:Y652" si="194">IF(H651="M",S651*W651,0)</f>
        <v>0</v>
      </c>
      <c r="Z651" s="110">
        <f t="shared" ref="Z651:Z652" si="195">IF(H651="S",S651*W651,0)</f>
        <v>0</v>
      </c>
      <c r="AA651" s="110">
        <f t="shared" ref="AA651:AA652" si="196">IF(H651="E",G651*S651*W651,0)</f>
        <v>0</v>
      </c>
      <c r="AB651" s="110">
        <f t="shared" ref="AB651:AB652" si="197">SUM(X651:AA651)</f>
        <v>0</v>
      </c>
      <c r="AC651" s="371" t="s">
        <v>163</v>
      </c>
      <c r="AD651" s="371" t="s">
        <v>170</v>
      </c>
      <c r="AE651" s="371" t="s">
        <v>153</v>
      </c>
      <c r="AF651" s="371"/>
    </row>
    <row r="652" spans="1:32" ht="13.5" hidden="1" thickBot="1" x14ac:dyDescent="0.25">
      <c r="A652" s="14" t="str">
        <f t="shared" si="191"/>
        <v/>
      </c>
      <c r="B652" s="69" t="s">
        <v>40</v>
      </c>
      <c r="C652" s="15"/>
      <c r="D652" s="242"/>
      <c r="E652" s="20"/>
      <c r="F652" s="80">
        <f>(1/12*$C$920+1/20*SUM($C$926:$C$929))/_sch_Mech_Wks/$S$830</f>
        <v>0.5509687499999999</v>
      </c>
      <c r="G652" s="146">
        <f t="shared" si="187"/>
        <v>60</v>
      </c>
      <c r="H652" s="15" t="s">
        <v>66</v>
      </c>
      <c r="I652" s="227"/>
      <c r="J652" s="227"/>
      <c r="K652" s="227"/>
      <c r="L652" s="227"/>
      <c r="M652" s="227"/>
      <c r="N652" s="227"/>
      <c r="O652" s="227"/>
      <c r="P652" s="227"/>
      <c r="Q652" s="227"/>
      <c r="R652" s="227"/>
      <c r="S652" s="34"/>
      <c r="T652" s="19" t="s">
        <v>493</v>
      </c>
      <c r="U652" s="66">
        <f t="shared" si="188"/>
        <v>10</v>
      </c>
      <c r="V652" s="31">
        <f t="shared" si="192"/>
        <v>0</v>
      </c>
      <c r="W652" s="35">
        <f>Rate!D19</f>
        <v>34</v>
      </c>
      <c r="X652" s="110">
        <f t="shared" si="193"/>
        <v>0</v>
      </c>
      <c r="Y652" s="110">
        <f t="shared" si="194"/>
        <v>0</v>
      </c>
      <c r="Z652" s="110">
        <f t="shared" si="195"/>
        <v>0</v>
      </c>
      <c r="AA652" s="110">
        <f t="shared" si="196"/>
        <v>0</v>
      </c>
      <c r="AB652" s="110">
        <f t="shared" si="197"/>
        <v>0</v>
      </c>
      <c r="AC652" s="371" t="s">
        <v>163</v>
      </c>
      <c r="AD652" s="371" t="s">
        <v>170</v>
      </c>
      <c r="AE652" s="371" t="s">
        <v>153</v>
      </c>
      <c r="AF652" s="371"/>
    </row>
    <row r="653" spans="1:32" ht="13.5" hidden="1" thickBot="1" x14ac:dyDescent="0.25">
      <c r="A653" s="14" t="str">
        <f>+IF(AB653&lt;&gt;0,"X","")</f>
        <v/>
      </c>
      <c r="B653" s="69" t="s">
        <v>41</v>
      </c>
      <c r="C653" s="15"/>
      <c r="D653" s="242"/>
      <c r="E653" s="20"/>
      <c r="F653" s="80">
        <f>(1/12*$C$920+1/20*SUM($C$926:$C$929))/_sch_Mech_Wks/$S$830</f>
        <v>0.5509687499999999</v>
      </c>
      <c r="G653" s="146">
        <f t="shared" si="187"/>
        <v>60</v>
      </c>
      <c r="H653" s="15" t="s">
        <v>66</v>
      </c>
      <c r="I653" s="227"/>
      <c r="J653" s="227"/>
      <c r="K653" s="227"/>
      <c r="L653" s="227"/>
      <c r="M653" s="227"/>
      <c r="N653" s="227"/>
      <c r="O653" s="227"/>
      <c r="P653" s="227"/>
      <c r="Q653" s="227"/>
      <c r="R653" s="227"/>
      <c r="S653" s="34"/>
      <c r="T653" s="19" t="s">
        <v>493</v>
      </c>
      <c r="U653" s="66">
        <f t="shared" si="188"/>
        <v>10</v>
      </c>
      <c r="V653" s="31">
        <f>G653*S653*U653</f>
        <v>0</v>
      </c>
      <c r="W653" s="35">
        <f>Rate!D20</f>
        <v>28</v>
      </c>
      <c r="X653" s="110">
        <f>IF(H653="L",V653*W653,0)</f>
        <v>0</v>
      </c>
      <c r="Y653" s="110">
        <f>IF(H653="M",S653*W653,0)</f>
        <v>0</v>
      </c>
      <c r="Z653" s="110">
        <f>IF(H653="S",S653*W653,0)</f>
        <v>0</v>
      </c>
      <c r="AA653" s="110">
        <f>IF(H653="E",G653*S653*W653,0)</f>
        <v>0</v>
      </c>
      <c r="AB653" s="110">
        <f>SUM(X653:AA653)</f>
        <v>0</v>
      </c>
      <c r="AC653" s="371" t="s">
        <v>163</v>
      </c>
      <c r="AD653" s="371" t="s">
        <v>170</v>
      </c>
      <c r="AE653" s="371" t="s">
        <v>153</v>
      </c>
      <c r="AF653" s="371"/>
    </row>
    <row r="654" spans="1:32" ht="13.5" hidden="1" thickBot="1" x14ac:dyDescent="0.25">
      <c r="A654" s="14" t="str">
        <f t="shared" si="186"/>
        <v/>
      </c>
      <c r="B654" s="69" t="s">
        <v>290</v>
      </c>
      <c r="C654" s="15"/>
      <c r="D654" s="242"/>
      <c r="E654" s="20"/>
      <c r="F654" s="80" t="s">
        <v>13</v>
      </c>
      <c r="G654" s="146">
        <f t="shared" si="187"/>
        <v>60</v>
      </c>
      <c r="H654" s="15" t="s">
        <v>66</v>
      </c>
      <c r="I654" s="227"/>
      <c r="J654" s="227"/>
      <c r="K654" s="227"/>
      <c r="L654" s="227"/>
      <c r="M654" s="227"/>
      <c r="N654" s="227"/>
      <c r="O654" s="227"/>
      <c r="P654" s="227"/>
      <c r="Q654" s="227"/>
      <c r="R654" s="227"/>
      <c r="S654" s="34"/>
      <c r="T654" s="19" t="s">
        <v>493</v>
      </c>
      <c r="U654" s="66">
        <f t="shared" si="188"/>
        <v>10</v>
      </c>
      <c r="V654" s="31">
        <f t="shared" si="189"/>
        <v>0</v>
      </c>
      <c r="W654" s="35">
        <f>Rate!$D$21</f>
        <v>18</v>
      </c>
      <c r="X654" s="110">
        <f t="shared" si="182"/>
        <v>0</v>
      </c>
      <c r="Y654" s="110">
        <f t="shared" si="178"/>
        <v>0</v>
      </c>
      <c r="Z654" s="110">
        <f t="shared" si="179"/>
        <v>0</v>
      </c>
      <c r="AA654" s="110">
        <f t="shared" si="183"/>
        <v>0</v>
      </c>
      <c r="AB654" s="110">
        <f t="shared" si="190"/>
        <v>0</v>
      </c>
      <c r="AC654" s="371" t="s">
        <v>163</v>
      </c>
      <c r="AD654" s="371" t="s">
        <v>170</v>
      </c>
      <c r="AE654" s="371" t="s">
        <v>153</v>
      </c>
      <c r="AF654" s="371"/>
    </row>
    <row r="655" spans="1:32" ht="13.5" hidden="1" thickBot="1" x14ac:dyDescent="0.25">
      <c r="A655" s="14" t="str">
        <f t="shared" si="186"/>
        <v/>
      </c>
      <c r="B655" s="69" t="s">
        <v>291</v>
      </c>
      <c r="C655" s="15"/>
      <c r="D655" s="242"/>
      <c r="E655" s="228"/>
      <c r="F655" s="290">
        <f>1/7*$C$920/_sch_Mech_Wks/$S$830</f>
        <v>0.94451785714285719</v>
      </c>
      <c r="G655" s="146">
        <f t="shared" si="187"/>
        <v>60</v>
      </c>
      <c r="H655" s="15" t="s">
        <v>66</v>
      </c>
      <c r="I655" s="227"/>
      <c r="J655" s="227"/>
      <c r="K655" s="227"/>
      <c r="L655" s="227"/>
      <c r="M655" s="227"/>
      <c r="N655" s="227"/>
      <c r="O655" s="227"/>
      <c r="P655" s="227"/>
      <c r="Q655" s="227"/>
      <c r="R655" s="227"/>
      <c r="S655" s="34"/>
      <c r="T655" s="19" t="s">
        <v>493</v>
      </c>
      <c r="U655" s="66">
        <f t="shared" si="188"/>
        <v>10</v>
      </c>
      <c r="V655" s="31">
        <f t="shared" si="189"/>
        <v>0</v>
      </c>
      <c r="W655" s="35">
        <f>Rate!$D$17</f>
        <v>38</v>
      </c>
      <c r="X655" s="110">
        <f t="shared" si="182"/>
        <v>0</v>
      </c>
      <c r="Y655" s="110">
        <f t="shared" si="178"/>
        <v>0</v>
      </c>
      <c r="Z655" s="110">
        <f t="shared" si="179"/>
        <v>0</v>
      </c>
      <c r="AA655" s="110">
        <f t="shared" si="183"/>
        <v>0</v>
      </c>
      <c r="AB655" s="110">
        <f t="shared" si="190"/>
        <v>0</v>
      </c>
      <c r="AC655" s="371" t="s">
        <v>163</v>
      </c>
      <c r="AD655" s="371" t="s">
        <v>170</v>
      </c>
      <c r="AE655" s="371" t="s">
        <v>153</v>
      </c>
      <c r="AF655" s="371"/>
    </row>
    <row r="656" spans="1:32" ht="13.5" hidden="1" thickBot="1" x14ac:dyDescent="0.25">
      <c r="A656" s="14" t="str">
        <f t="shared" si="186"/>
        <v/>
      </c>
      <c r="B656" s="69" t="s">
        <v>574</v>
      </c>
      <c r="C656" s="15"/>
      <c r="D656" s="242"/>
      <c r="E656" s="20"/>
      <c r="F656" s="80" t="s">
        <v>13</v>
      </c>
      <c r="G656" s="146">
        <f t="shared" ref="G656:G663" si="198">$D$948</f>
        <v>60</v>
      </c>
      <c r="H656" s="15" t="s">
        <v>66</v>
      </c>
      <c r="I656" s="227"/>
      <c r="J656" s="227"/>
      <c r="K656" s="227"/>
      <c r="L656" s="227"/>
      <c r="M656" s="227"/>
      <c r="N656" s="227"/>
      <c r="O656" s="227"/>
      <c r="P656" s="227"/>
      <c r="Q656" s="227"/>
      <c r="R656" s="227"/>
      <c r="S656" s="34"/>
      <c r="T656" s="19" t="s">
        <v>493</v>
      </c>
      <c r="U656" s="66">
        <f t="shared" si="188"/>
        <v>10</v>
      </c>
      <c r="V656" s="31">
        <f t="shared" si="189"/>
        <v>0</v>
      </c>
      <c r="W656" s="35">
        <f>Rate!$D$21</f>
        <v>18</v>
      </c>
      <c r="X656" s="110">
        <f t="shared" si="182"/>
        <v>0</v>
      </c>
      <c r="Y656" s="110">
        <f t="shared" si="178"/>
        <v>0</v>
      </c>
      <c r="Z656" s="110">
        <f t="shared" si="179"/>
        <v>0</v>
      </c>
      <c r="AA656" s="110">
        <f t="shared" si="183"/>
        <v>0</v>
      </c>
      <c r="AB656" s="110">
        <f t="shared" si="190"/>
        <v>0</v>
      </c>
      <c r="AC656" s="371" t="s">
        <v>163</v>
      </c>
      <c r="AD656" s="371" t="s">
        <v>170</v>
      </c>
      <c r="AE656" s="371" t="s">
        <v>153</v>
      </c>
      <c r="AF656" s="371"/>
    </row>
    <row r="657" spans="1:32" ht="13.5" hidden="1" thickBot="1" x14ac:dyDescent="0.25">
      <c r="A657" s="14" t="str">
        <f t="shared" si="186"/>
        <v/>
      </c>
      <c r="B657" s="69" t="s">
        <v>23</v>
      </c>
      <c r="C657" s="15"/>
      <c r="D657" s="242"/>
      <c r="E657" s="228"/>
      <c r="F657" s="290">
        <f>1/7*$C$920/_sch_Mech_Wks/$S$830</f>
        <v>0.94451785714285719</v>
      </c>
      <c r="G657" s="146">
        <f t="shared" si="198"/>
        <v>60</v>
      </c>
      <c r="H657" s="15" t="s">
        <v>66</v>
      </c>
      <c r="I657" s="227"/>
      <c r="J657" s="227"/>
      <c r="K657" s="227"/>
      <c r="L657" s="227"/>
      <c r="M657" s="227"/>
      <c r="N657" s="227"/>
      <c r="O657" s="227"/>
      <c r="P657" s="227"/>
      <c r="Q657" s="227"/>
      <c r="R657" s="227"/>
      <c r="S657" s="34"/>
      <c r="T657" s="19" t="s">
        <v>493</v>
      </c>
      <c r="U657" s="66">
        <f t="shared" si="188"/>
        <v>10</v>
      </c>
      <c r="V657" s="31">
        <f t="shared" si="189"/>
        <v>0</v>
      </c>
      <c r="W657" s="35">
        <f>Rate!D$16</f>
        <v>42</v>
      </c>
      <c r="X657" s="110">
        <f t="shared" si="182"/>
        <v>0</v>
      </c>
      <c r="Y657" s="110">
        <f t="shared" si="178"/>
        <v>0</v>
      </c>
      <c r="Z657" s="110">
        <f t="shared" si="179"/>
        <v>0</v>
      </c>
      <c r="AA657" s="110">
        <f t="shared" si="183"/>
        <v>0</v>
      </c>
      <c r="AB657" s="110">
        <f t="shared" si="190"/>
        <v>0</v>
      </c>
      <c r="AC657" s="371" t="s">
        <v>163</v>
      </c>
      <c r="AD657" s="371" t="s">
        <v>170</v>
      </c>
      <c r="AE657" s="371" t="s">
        <v>153</v>
      </c>
      <c r="AF657" s="371"/>
    </row>
    <row r="658" spans="1:32" ht="13.5" hidden="1" thickBot="1" x14ac:dyDescent="0.25">
      <c r="A658" s="14" t="str">
        <f t="shared" si="186"/>
        <v/>
      </c>
      <c r="B658" s="71" t="s">
        <v>292</v>
      </c>
      <c r="C658" s="15"/>
      <c r="D658" s="242"/>
      <c r="E658" s="20"/>
      <c r="F658" s="80" t="s">
        <v>13</v>
      </c>
      <c r="G658" s="146">
        <f t="shared" si="198"/>
        <v>60</v>
      </c>
      <c r="H658" s="15" t="s">
        <v>66</v>
      </c>
      <c r="I658" s="227"/>
      <c r="J658" s="227"/>
      <c r="K658" s="227"/>
      <c r="L658" s="227"/>
      <c r="M658" s="227"/>
      <c r="N658" s="227"/>
      <c r="O658" s="227"/>
      <c r="P658" s="227"/>
      <c r="Q658" s="227"/>
      <c r="R658" s="227"/>
      <c r="S658" s="34"/>
      <c r="T658" s="19" t="s">
        <v>493</v>
      </c>
      <c r="U658" s="66">
        <f t="shared" si="188"/>
        <v>10</v>
      </c>
      <c r="V658" s="31">
        <f t="shared" si="189"/>
        <v>0</v>
      </c>
      <c r="W658" s="35">
        <f>W648+0.5</f>
        <v>18.5</v>
      </c>
      <c r="X658" s="110">
        <f t="shared" si="182"/>
        <v>0</v>
      </c>
      <c r="Y658" s="110">
        <f t="shared" si="178"/>
        <v>0</v>
      </c>
      <c r="Z658" s="110">
        <f t="shared" si="179"/>
        <v>0</v>
      </c>
      <c r="AA658" s="110">
        <f t="shared" si="183"/>
        <v>0</v>
      </c>
      <c r="AB658" s="110">
        <f t="shared" si="190"/>
        <v>0</v>
      </c>
      <c r="AC658" s="371" t="s">
        <v>163</v>
      </c>
      <c r="AD658" s="371" t="s">
        <v>170</v>
      </c>
      <c r="AE658" s="371" t="s">
        <v>153</v>
      </c>
      <c r="AF658" s="371"/>
    </row>
    <row r="659" spans="1:32" ht="13.5" hidden="1" thickBot="1" x14ac:dyDescent="0.25">
      <c r="A659" s="14" t="str">
        <f t="shared" si="186"/>
        <v/>
      </c>
      <c r="B659" s="71" t="s">
        <v>293</v>
      </c>
      <c r="C659" s="15"/>
      <c r="D659" s="242"/>
      <c r="E659" s="20"/>
      <c r="F659" s="80" t="s">
        <v>13</v>
      </c>
      <c r="G659" s="146">
        <f t="shared" si="198"/>
        <v>60</v>
      </c>
      <c r="H659" s="15" t="s">
        <v>66</v>
      </c>
      <c r="I659" s="227"/>
      <c r="J659" s="227"/>
      <c r="K659" s="227"/>
      <c r="L659" s="227"/>
      <c r="M659" s="227"/>
      <c r="N659" s="227"/>
      <c r="O659" s="227"/>
      <c r="P659" s="227"/>
      <c r="Q659" s="227"/>
      <c r="R659" s="227"/>
      <c r="S659" s="34"/>
      <c r="T659" s="19" t="s">
        <v>493</v>
      </c>
      <c r="U659" s="66">
        <f t="shared" si="188"/>
        <v>10</v>
      </c>
      <c r="V659" s="31">
        <f t="shared" si="189"/>
        <v>0</v>
      </c>
      <c r="W659" s="35">
        <f>W649+0.5</f>
        <v>18.5</v>
      </c>
      <c r="X659" s="110">
        <f t="shared" si="182"/>
        <v>0</v>
      </c>
      <c r="Y659" s="110">
        <f t="shared" si="178"/>
        <v>0</v>
      </c>
      <c r="Z659" s="110">
        <f t="shared" si="179"/>
        <v>0</v>
      </c>
      <c r="AA659" s="110">
        <f t="shared" si="183"/>
        <v>0</v>
      </c>
      <c r="AB659" s="110">
        <f t="shared" si="190"/>
        <v>0</v>
      </c>
      <c r="AC659" s="371" t="s">
        <v>163</v>
      </c>
      <c r="AD659" s="371" t="s">
        <v>170</v>
      </c>
      <c r="AE659" s="371" t="s">
        <v>153</v>
      </c>
      <c r="AF659" s="371"/>
    </row>
    <row r="660" spans="1:32" ht="13.5" hidden="1" thickBot="1" x14ac:dyDescent="0.25">
      <c r="A660" s="14" t="str">
        <f t="shared" si="186"/>
        <v/>
      </c>
      <c r="B660" s="71" t="s">
        <v>294</v>
      </c>
      <c r="C660" s="15"/>
      <c r="D660" s="242"/>
      <c r="E660" s="20"/>
      <c r="F660" s="80" t="s">
        <v>13</v>
      </c>
      <c r="G660" s="146">
        <f t="shared" si="198"/>
        <v>60</v>
      </c>
      <c r="H660" s="15" t="s">
        <v>66</v>
      </c>
      <c r="I660" s="227"/>
      <c r="J660" s="227"/>
      <c r="K660" s="227"/>
      <c r="L660" s="227"/>
      <c r="M660" s="227"/>
      <c r="N660" s="227"/>
      <c r="O660" s="227"/>
      <c r="P660" s="227"/>
      <c r="Q660" s="227"/>
      <c r="R660" s="227"/>
      <c r="S660" s="34"/>
      <c r="T660" s="19" t="s">
        <v>493</v>
      </c>
      <c r="U660" s="66">
        <f t="shared" si="188"/>
        <v>10</v>
      </c>
      <c r="V660" s="31">
        <f t="shared" si="189"/>
        <v>0</v>
      </c>
      <c r="W660" s="35">
        <f>W654+0.5</f>
        <v>18.5</v>
      </c>
      <c r="X660" s="110">
        <f t="shared" si="182"/>
        <v>0</v>
      </c>
      <c r="Y660" s="110">
        <f t="shared" si="178"/>
        <v>0</v>
      </c>
      <c r="Z660" s="110">
        <f t="shared" si="179"/>
        <v>0</v>
      </c>
      <c r="AA660" s="110">
        <f t="shared" si="183"/>
        <v>0</v>
      </c>
      <c r="AB660" s="110">
        <f t="shared" si="190"/>
        <v>0</v>
      </c>
      <c r="AC660" s="371" t="s">
        <v>163</v>
      </c>
      <c r="AD660" s="371" t="s">
        <v>170</v>
      </c>
      <c r="AE660" s="371" t="s">
        <v>153</v>
      </c>
      <c r="AF660" s="371"/>
    </row>
    <row r="661" spans="1:32" ht="13.5" hidden="1" thickBot="1" x14ac:dyDescent="0.25">
      <c r="A661" s="14" t="str">
        <f t="shared" si="186"/>
        <v/>
      </c>
      <c r="B661" s="71" t="s">
        <v>295</v>
      </c>
      <c r="C661" s="15"/>
      <c r="D661" s="242"/>
      <c r="E661" s="20"/>
      <c r="F661" s="80" t="s">
        <v>13</v>
      </c>
      <c r="G661" s="146">
        <f t="shared" si="198"/>
        <v>60</v>
      </c>
      <c r="H661" s="15" t="s">
        <v>66</v>
      </c>
      <c r="I661" s="227"/>
      <c r="J661" s="227"/>
      <c r="K661" s="227"/>
      <c r="L661" s="227"/>
      <c r="M661" s="227"/>
      <c r="N661" s="227"/>
      <c r="O661" s="227"/>
      <c r="P661" s="227"/>
      <c r="Q661" s="227"/>
      <c r="R661" s="227"/>
      <c r="S661" s="34"/>
      <c r="T661" s="19" t="s">
        <v>493</v>
      </c>
      <c r="U661" s="66">
        <f t="shared" si="188"/>
        <v>10</v>
      </c>
      <c r="V661" s="31">
        <f t="shared" si="189"/>
        <v>0</v>
      </c>
      <c r="W661" s="35">
        <f>W655+1</f>
        <v>39</v>
      </c>
      <c r="X661" s="110">
        <f t="shared" si="182"/>
        <v>0</v>
      </c>
      <c r="Y661" s="110">
        <f t="shared" si="178"/>
        <v>0</v>
      </c>
      <c r="Z661" s="110">
        <f t="shared" si="179"/>
        <v>0</v>
      </c>
      <c r="AA661" s="110">
        <f t="shared" si="183"/>
        <v>0</v>
      </c>
      <c r="AB661" s="110">
        <f t="shared" si="190"/>
        <v>0</v>
      </c>
      <c r="AC661" s="371" t="s">
        <v>163</v>
      </c>
      <c r="AD661" s="371" t="s">
        <v>170</v>
      </c>
      <c r="AE661" s="371" t="s">
        <v>153</v>
      </c>
      <c r="AF661" s="371"/>
    </row>
    <row r="662" spans="1:32" ht="13.5" hidden="1" thickBot="1" x14ac:dyDescent="0.25">
      <c r="A662" s="14" t="str">
        <f t="shared" si="186"/>
        <v/>
      </c>
      <c r="B662" s="71" t="s">
        <v>296</v>
      </c>
      <c r="C662" s="15"/>
      <c r="D662" s="242"/>
      <c r="E662" s="20"/>
      <c r="F662" s="80" t="s">
        <v>13</v>
      </c>
      <c r="G662" s="146">
        <f t="shared" si="198"/>
        <v>60</v>
      </c>
      <c r="H662" s="15" t="s">
        <v>66</v>
      </c>
      <c r="I662" s="227"/>
      <c r="J662" s="227"/>
      <c r="K662" s="227"/>
      <c r="L662" s="227"/>
      <c r="M662" s="227"/>
      <c r="N662" s="227"/>
      <c r="O662" s="227"/>
      <c r="P662" s="227"/>
      <c r="Q662" s="227"/>
      <c r="R662" s="227"/>
      <c r="S662" s="34"/>
      <c r="T662" s="19" t="s">
        <v>493</v>
      </c>
      <c r="U662" s="66">
        <f t="shared" si="188"/>
        <v>10</v>
      </c>
      <c r="V662" s="31">
        <f t="shared" si="189"/>
        <v>0</v>
      </c>
      <c r="W662" s="35">
        <f>W656+1</f>
        <v>19</v>
      </c>
      <c r="X662" s="110">
        <f t="shared" si="182"/>
        <v>0</v>
      </c>
      <c r="Y662" s="110">
        <f t="shared" si="178"/>
        <v>0</v>
      </c>
      <c r="Z662" s="110">
        <f t="shared" si="179"/>
        <v>0</v>
      </c>
      <c r="AA662" s="110">
        <f t="shared" si="183"/>
        <v>0</v>
      </c>
      <c r="AB662" s="110">
        <f t="shared" si="190"/>
        <v>0</v>
      </c>
      <c r="AC662" s="371" t="s">
        <v>163</v>
      </c>
      <c r="AD662" s="371" t="s">
        <v>170</v>
      </c>
      <c r="AE662" s="371" t="s">
        <v>153</v>
      </c>
      <c r="AF662" s="371"/>
    </row>
    <row r="663" spans="1:32" ht="13.5" hidden="1" thickBot="1" x14ac:dyDescent="0.25">
      <c r="A663" s="14" t="str">
        <f t="shared" si="186"/>
        <v/>
      </c>
      <c r="B663" s="71" t="s">
        <v>297</v>
      </c>
      <c r="C663" s="15"/>
      <c r="D663" s="242"/>
      <c r="E663" s="20"/>
      <c r="F663" s="80" t="s">
        <v>13</v>
      </c>
      <c r="G663" s="84">
        <f t="shared" si="198"/>
        <v>60</v>
      </c>
      <c r="H663" s="15" t="s">
        <v>66</v>
      </c>
      <c r="I663" s="393"/>
      <c r="J663" s="227"/>
      <c r="K663" s="227"/>
      <c r="L663" s="227"/>
      <c r="M663" s="227"/>
      <c r="N663" s="227"/>
      <c r="O663" s="227"/>
      <c r="P663" s="227"/>
      <c r="Q663" s="227"/>
      <c r="R663" s="227"/>
      <c r="S663" s="34"/>
      <c r="T663" s="19" t="s">
        <v>493</v>
      </c>
      <c r="U663" s="66">
        <f t="shared" si="188"/>
        <v>10</v>
      </c>
      <c r="V663" s="31">
        <f t="shared" si="189"/>
        <v>0</v>
      </c>
      <c r="W663" s="35">
        <f>Rate!D$16</f>
        <v>42</v>
      </c>
      <c r="X663" s="110">
        <f t="shared" si="182"/>
        <v>0</v>
      </c>
      <c r="Y663" s="110">
        <f t="shared" si="178"/>
        <v>0</v>
      </c>
      <c r="Z663" s="110">
        <f t="shared" si="179"/>
        <v>0</v>
      </c>
      <c r="AA663" s="110">
        <f t="shared" si="183"/>
        <v>0</v>
      </c>
      <c r="AB663" s="110">
        <f t="shared" si="190"/>
        <v>0</v>
      </c>
      <c r="AC663" s="371" t="s">
        <v>163</v>
      </c>
      <c r="AD663" s="371" t="s">
        <v>170</v>
      </c>
      <c r="AE663" s="371" t="s">
        <v>153</v>
      </c>
      <c r="AF663" s="371"/>
    </row>
    <row r="664" spans="1:32" ht="13.5" hidden="1" thickBot="1" x14ac:dyDescent="0.25">
      <c r="A664" s="14" t="str">
        <f>IF(SUM(AB664:AB683)&lt;&gt;0,"X","")</f>
        <v/>
      </c>
      <c r="B664" s="198" t="s">
        <v>298</v>
      </c>
      <c r="C664" s="200" t="s">
        <v>13</v>
      </c>
      <c r="D664" s="239"/>
      <c r="E664" s="217" t="s">
        <v>63</v>
      </c>
      <c r="F664" s="217" t="s">
        <v>72</v>
      </c>
      <c r="G664" s="217" t="s">
        <v>21</v>
      </c>
      <c r="H664" s="199"/>
      <c r="I664" s="199"/>
      <c r="J664" s="199"/>
      <c r="K664" s="199"/>
      <c r="L664" s="199"/>
      <c r="M664" s="199"/>
      <c r="N664" s="199"/>
      <c r="O664" s="199"/>
      <c r="P664" s="199"/>
      <c r="Q664" s="199"/>
      <c r="R664" s="199"/>
      <c r="S664" s="199"/>
      <c r="T664" s="200"/>
      <c r="U664" s="208"/>
      <c r="V664" s="206"/>
      <c r="W664" s="198" t="s">
        <v>57</v>
      </c>
      <c r="X664" s="204">
        <f t="shared" si="182"/>
        <v>0</v>
      </c>
      <c r="Y664" s="204">
        <f t="shared" si="178"/>
        <v>0</v>
      </c>
      <c r="Z664" s="204">
        <f t="shared" si="179"/>
        <v>0</v>
      </c>
      <c r="AA664" s="204">
        <f t="shared" si="183"/>
        <v>0</v>
      </c>
      <c r="AB664" s="205"/>
      <c r="AC664" s="369"/>
      <c r="AD664" s="369"/>
      <c r="AE664" s="369" t="s">
        <v>13</v>
      </c>
      <c r="AF664" s="369"/>
    </row>
    <row r="665" spans="1:32" ht="13.5" hidden="1" thickBot="1" x14ac:dyDescent="0.25">
      <c r="A665" s="14" t="str">
        <f t="shared" ref="A665:A683" si="199">+IF(AB665&lt;&gt;0,"X","")</f>
        <v/>
      </c>
      <c r="B665" s="69" t="s">
        <v>299</v>
      </c>
      <c r="C665" s="15"/>
      <c r="D665" s="242"/>
      <c r="E665" s="15" t="s">
        <v>13</v>
      </c>
      <c r="F665" s="37"/>
      <c r="G665" s="32"/>
      <c r="H665" s="28" t="s">
        <v>68</v>
      </c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15"/>
      <c r="T665" s="7" t="s">
        <v>491</v>
      </c>
      <c r="U665" s="92"/>
      <c r="V665" s="92"/>
      <c r="W665" s="35">
        <v>1.5</v>
      </c>
      <c r="X665" s="110">
        <f t="shared" si="182"/>
        <v>0</v>
      </c>
      <c r="Y665" s="110">
        <f t="shared" si="178"/>
        <v>0</v>
      </c>
      <c r="Z665" s="110">
        <f t="shared" si="179"/>
        <v>0</v>
      </c>
      <c r="AA665" s="110">
        <f t="shared" si="183"/>
        <v>0</v>
      </c>
      <c r="AB665" s="110">
        <f t="shared" ref="AB665:AB698" si="200">SUM(X665:AA665)</f>
        <v>0</v>
      </c>
      <c r="AC665" s="386" t="s">
        <v>163</v>
      </c>
      <c r="AD665" s="386" t="s">
        <v>175</v>
      </c>
      <c r="AE665" s="386"/>
      <c r="AF665" s="386"/>
    </row>
    <row r="666" spans="1:32" ht="13.5" hidden="1" thickBot="1" x14ac:dyDescent="0.25">
      <c r="A666" s="14" t="str">
        <f t="shared" si="199"/>
        <v/>
      </c>
      <c r="B666" s="69" t="s">
        <v>638</v>
      </c>
      <c r="C666" s="15"/>
      <c r="D666" s="242"/>
      <c r="E666" s="15" t="s">
        <v>13</v>
      </c>
      <c r="F666" s="247">
        <v>10000</v>
      </c>
      <c r="G666" s="32">
        <f t="shared" ref="G666:G683" si="201">sch_Mob_Demob_Mo</f>
        <v>3.3000000000000003</v>
      </c>
      <c r="H666" s="28" t="s">
        <v>68</v>
      </c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15"/>
      <c r="T666" s="7" t="s">
        <v>493</v>
      </c>
      <c r="U666" s="92"/>
      <c r="V666" s="92"/>
      <c r="W666" s="13">
        <v>1700</v>
      </c>
      <c r="X666" s="110">
        <f t="shared" si="182"/>
        <v>0</v>
      </c>
      <c r="Y666" s="110">
        <f t="shared" si="178"/>
        <v>0</v>
      </c>
      <c r="Z666" s="110">
        <f t="shared" si="179"/>
        <v>0</v>
      </c>
      <c r="AA666" s="110">
        <f t="shared" si="183"/>
        <v>0</v>
      </c>
      <c r="AB666" s="110">
        <f t="shared" si="200"/>
        <v>0</v>
      </c>
      <c r="AC666" s="386" t="s">
        <v>163</v>
      </c>
      <c r="AD666" s="386" t="s">
        <v>175</v>
      </c>
      <c r="AE666" s="386"/>
      <c r="AF666" s="386"/>
    </row>
    <row r="667" spans="1:32" ht="13.5" hidden="1" thickBot="1" x14ac:dyDescent="0.25">
      <c r="A667" s="14" t="str">
        <f t="shared" si="199"/>
        <v/>
      </c>
      <c r="B667" s="69" t="s">
        <v>637</v>
      </c>
      <c r="C667" s="15"/>
      <c r="D667" s="242"/>
      <c r="E667" s="15" t="s">
        <v>13</v>
      </c>
      <c r="F667" s="247">
        <v>17421</v>
      </c>
      <c r="G667" s="32">
        <f t="shared" si="201"/>
        <v>3.3000000000000003</v>
      </c>
      <c r="H667" s="28" t="s">
        <v>68</v>
      </c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15"/>
      <c r="T667" s="7" t="s">
        <v>493</v>
      </c>
      <c r="U667" s="92"/>
      <c r="V667" s="92"/>
      <c r="W667" s="13">
        <v>2300</v>
      </c>
      <c r="X667" s="110">
        <f t="shared" si="182"/>
        <v>0</v>
      </c>
      <c r="Y667" s="110">
        <f t="shared" si="178"/>
        <v>0</v>
      </c>
      <c r="Z667" s="110">
        <f t="shared" si="179"/>
        <v>0</v>
      </c>
      <c r="AA667" s="110">
        <f t="shared" si="183"/>
        <v>0</v>
      </c>
      <c r="AB667" s="110">
        <f t="shared" si="200"/>
        <v>0</v>
      </c>
      <c r="AC667" s="386" t="s">
        <v>163</v>
      </c>
      <c r="AD667" s="386" t="s">
        <v>175</v>
      </c>
      <c r="AE667" s="386"/>
      <c r="AF667" s="386"/>
    </row>
    <row r="668" spans="1:32" ht="13.5" hidden="1" thickBot="1" x14ac:dyDescent="0.25">
      <c r="A668" s="14" t="str">
        <f t="shared" si="199"/>
        <v/>
      </c>
      <c r="B668" s="69" t="s">
        <v>300</v>
      </c>
      <c r="C668" s="15"/>
      <c r="D668" s="242"/>
      <c r="E668" s="15" t="s">
        <v>13</v>
      </c>
      <c r="F668" s="37">
        <v>2200</v>
      </c>
      <c r="G668" s="32">
        <f t="shared" si="201"/>
        <v>3.3000000000000003</v>
      </c>
      <c r="H668" s="28" t="s">
        <v>68</v>
      </c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15"/>
      <c r="T668" s="7" t="s">
        <v>493</v>
      </c>
      <c r="U668" s="92"/>
      <c r="V668" s="92"/>
      <c r="W668" s="13">
        <f>1195*rentFact</f>
        <v>1314.5</v>
      </c>
      <c r="X668" s="110">
        <f t="shared" si="182"/>
        <v>0</v>
      </c>
      <c r="Y668" s="110">
        <f t="shared" si="178"/>
        <v>0</v>
      </c>
      <c r="Z668" s="110">
        <f t="shared" si="179"/>
        <v>0</v>
      </c>
      <c r="AA668" s="110">
        <f t="shared" si="183"/>
        <v>0</v>
      </c>
      <c r="AB668" s="110">
        <f t="shared" si="200"/>
        <v>0</v>
      </c>
      <c r="AC668" s="386" t="s">
        <v>163</v>
      </c>
      <c r="AD668" s="386" t="s">
        <v>175</v>
      </c>
      <c r="AE668" s="386"/>
      <c r="AF668" s="386"/>
    </row>
    <row r="669" spans="1:32" ht="13.5" hidden="1" thickBot="1" x14ac:dyDescent="0.25">
      <c r="A669" s="14" t="str">
        <f t="shared" si="199"/>
        <v/>
      </c>
      <c r="B669" s="69" t="s">
        <v>301</v>
      </c>
      <c r="C669" s="15"/>
      <c r="D669" s="242"/>
      <c r="E669" s="15">
        <f>4.1*10</f>
        <v>41</v>
      </c>
      <c r="F669" s="37">
        <v>150</v>
      </c>
      <c r="G669" s="32">
        <f t="shared" si="201"/>
        <v>3.3000000000000003</v>
      </c>
      <c r="H669" s="28" t="s">
        <v>68</v>
      </c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15"/>
      <c r="T669" s="7" t="s">
        <v>493</v>
      </c>
      <c r="U669" s="92"/>
      <c r="V669" s="92"/>
      <c r="W669" s="13">
        <f>1980*rentFact</f>
        <v>2178</v>
      </c>
      <c r="X669" s="110">
        <f t="shared" si="182"/>
        <v>0</v>
      </c>
      <c r="Y669" s="110">
        <f t="shared" si="178"/>
        <v>0</v>
      </c>
      <c r="Z669" s="110">
        <f t="shared" si="179"/>
        <v>0</v>
      </c>
      <c r="AA669" s="110">
        <f t="shared" si="183"/>
        <v>0</v>
      </c>
      <c r="AB669" s="110">
        <f t="shared" si="200"/>
        <v>0</v>
      </c>
      <c r="AC669" s="386" t="s">
        <v>163</v>
      </c>
      <c r="AD669" s="386" t="s">
        <v>175</v>
      </c>
      <c r="AE669" s="386"/>
      <c r="AF669" s="386"/>
    </row>
    <row r="670" spans="1:32" ht="13.5" hidden="1" thickBot="1" x14ac:dyDescent="0.25">
      <c r="A670" s="14" t="str">
        <f t="shared" si="199"/>
        <v/>
      </c>
      <c r="B670" s="69" t="s">
        <v>302</v>
      </c>
      <c r="C670" s="15"/>
      <c r="D670" s="242"/>
      <c r="E670" s="15"/>
      <c r="F670" s="37">
        <v>150</v>
      </c>
      <c r="G670" s="32">
        <f t="shared" si="201"/>
        <v>3.3000000000000003</v>
      </c>
      <c r="H670" s="28" t="s">
        <v>68</v>
      </c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15"/>
      <c r="T670" s="7" t="s">
        <v>493</v>
      </c>
      <c r="U670" s="92"/>
      <c r="V670" s="92"/>
      <c r="W670" s="13">
        <f>715*rentFact</f>
        <v>786.50000000000011</v>
      </c>
      <c r="X670" s="110">
        <f t="shared" si="182"/>
        <v>0</v>
      </c>
      <c r="Y670" s="110">
        <f t="shared" si="178"/>
        <v>0</v>
      </c>
      <c r="Z670" s="110">
        <f t="shared" si="179"/>
        <v>0</v>
      </c>
      <c r="AA670" s="110">
        <f t="shared" si="183"/>
        <v>0</v>
      </c>
      <c r="AB670" s="110">
        <f t="shared" si="200"/>
        <v>0</v>
      </c>
      <c r="AC670" s="386" t="s">
        <v>163</v>
      </c>
      <c r="AD670" s="386" t="s">
        <v>175</v>
      </c>
      <c r="AE670" s="386"/>
      <c r="AF670" s="386"/>
    </row>
    <row r="671" spans="1:32" ht="13.5" hidden="1" thickBot="1" x14ac:dyDescent="0.25">
      <c r="A671" s="14" t="str">
        <f t="shared" si="199"/>
        <v/>
      </c>
      <c r="B671" s="69" t="s">
        <v>303</v>
      </c>
      <c r="C671" s="15"/>
      <c r="D671" s="242"/>
      <c r="E671" s="15" t="s">
        <v>13</v>
      </c>
      <c r="F671" s="37">
        <v>500</v>
      </c>
      <c r="G671" s="32">
        <f t="shared" si="201"/>
        <v>3.3000000000000003</v>
      </c>
      <c r="H671" s="28" t="s">
        <v>68</v>
      </c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15"/>
      <c r="T671" s="7" t="s">
        <v>493</v>
      </c>
      <c r="U671" s="92"/>
      <c r="V671" s="92"/>
      <c r="W671" s="13">
        <f>400*rentFact</f>
        <v>440.00000000000006</v>
      </c>
      <c r="X671" s="110">
        <f t="shared" si="182"/>
        <v>0</v>
      </c>
      <c r="Y671" s="110">
        <f t="shared" si="178"/>
        <v>0</v>
      </c>
      <c r="Z671" s="110">
        <f t="shared" si="179"/>
        <v>0</v>
      </c>
      <c r="AA671" s="110">
        <f t="shared" si="183"/>
        <v>0</v>
      </c>
      <c r="AB671" s="110">
        <f t="shared" si="200"/>
        <v>0</v>
      </c>
      <c r="AC671" s="386" t="s">
        <v>163</v>
      </c>
      <c r="AD671" s="386" t="s">
        <v>175</v>
      </c>
      <c r="AE671" s="386"/>
      <c r="AF671" s="386"/>
    </row>
    <row r="672" spans="1:32" ht="13.5" hidden="1" thickBot="1" x14ac:dyDescent="0.25">
      <c r="A672" s="14" t="str">
        <f t="shared" si="199"/>
        <v/>
      </c>
      <c r="B672" s="69" t="s">
        <v>304</v>
      </c>
      <c r="C672" s="15"/>
      <c r="D672" s="242"/>
      <c r="E672" s="15" t="s">
        <v>13</v>
      </c>
      <c r="F672" s="37">
        <v>500</v>
      </c>
      <c r="G672" s="32">
        <f t="shared" si="201"/>
        <v>3.3000000000000003</v>
      </c>
      <c r="H672" s="28" t="s">
        <v>68</v>
      </c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15"/>
      <c r="T672" s="7" t="s">
        <v>493</v>
      </c>
      <c r="U672" s="92"/>
      <c r="V672" s="92"/>
      <c r="W672" s="13">
        <f>450*rentFact</f>
        <v>495.00000000000006</v>
      </c>
      <c r="X672" s="110">
        <f t="shared" si="182"/>
        <v>0</v>
      </c>
      <c r="Y672" s="110">
        <f t="shared" si="178"/>
        <v>0</v>
      </c>
      <c r="Z672" s="110">
        <f t="shared" si="179"/>
        <v>0</v>
      </c>
      <c r="AA672" s="110">
        <f t="shared" si="183"/>
        <v>0</v>
      </c>
      <c r="AB672" s="110">
        <f t="shared" si="200"/>
        <v>0</v>
      </c>
      <c r="AC672" s="386" t="s">
        <v>163</v>
      </c>
      <c r="AD672" s="386" t="s">
        <v>175</v>
      </c>
      <c r="AE672" s="386"/>
      <c r="AF672" s="386"/>
    </row>
    <row r="673" spans="1:32" ht="13.5" hidden="1" thickBot="1" x14ac:dyDescent="0.25">
      <c r="A673" s="14" t="str">
        <f t="shared" si="199"/>
        <v/>
      </c>
      <c r="B673" s="69" t="s">
        <v>305</v>
      </c>
      <c r="C673" s="15"/>
      <c r="D673" s="242"/>
      <c r="E673" s="15" t="s">
        <v>13</v>
      </c>
      <c r="F673" s="37">
        <v>1000</v>
      </c>
      <c r="G673" s="32">
        <f t="shared" si="201"/>
        <v>3.3000000000000003</v>
      </c>
      <c r="H673" s="28" t="s">
        <v>68</v>
      </c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15"/>
      <c r="T673" s="7" t="s">
        <v>493</v>
      </c>
      <c r="U673" s="92"/>
      <c r="V673" s="92"/>
      <c r="W673" s="13">
        <f>2000*rentFact</f>
        <v>2200</v>
      </c>
      <c r="X673" s="110">
        <f t="shared" si="182"/>
        <v>0</v>
      </c>
      <c r="Y673" s="110">
        <f t="shared" si="178"/>
        <v>0</v>
      </c>
      <c r="Z673" s="110">
        <f t="shared" si="179"/>
        <v>0</v>
      </c>
      <c r="AA673" s="110">
        <f t="shared" si="183"/>
        <v>0</v>
      </c>
      <c r="AB673" s="110">
        <f t="shared" si="200"/>
        <v>0</v>
      </c>
      <c r="AC673" s="386" t="s">
        <v>163</v>
      </c>
      <c r="AD673" s="386" t="s">
        <v>175</v>
      </c>
      <c r="AE673" s="386"/>
      <c r="AF673" s="386"/>
    </row>
    <row r="674" spans="1:32" ht="13.5" hidden="1" thickBot="1" x14ac:dyDescent="0.25">
      <c r="A674" s="14" t="str">
        <f t="shared" si="199"/>
        <v/>
      </c>
      <c r="B674" s="69" t="s">
        <v>306</v>
      </c>
      <c r="C674" s="15"/>
      <c r="D674" s="242"/>
      <c r="E674" s="15" t="s">
        <v>13</v>
      </c>
      <c r="F674" s="37">
        <v>500</v>
      </c>
      <c r="G674" s="32">
        <f t="shared" si="201"/>
        <v>3.3000000000000003</v>
      </c>
      <c r="H674" s="28" t="s">
        <v>68</v>
      </c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15"/>
      <c r="T674" s="7" t="s">
        <v>493</v>
      </c>
      <c r="U674" s="92"/>
      <c r="V674" s="92"/>
      <c r="W674" s="13">
        <f>630*rentFact</f>
        <v>693</v>
      </c>
      <c r="X674" s="110">
        <f t="shared" si="182"/>
        <v>0</v>
      </c>
      <c r="Y674" s="110">
        <f t="shared" ref="Y674:Y710" si="202">IF(H674="M",S674*W674,0)</f>
        <v>0</v>
      </c>
      <c r="Z674" s="110">
        <f t="shared" ref="Z674:Z710" si="203">IF(H674="S",S674*W674,0)</f>
        <v>0</v>
      </c>
      <c r="AA674" s="110">
        <f t="shared" si="183"/>
        <v>0</v>
      </c>
      <c r="AB674" s="110">
        <f t="shared" si="200"/>
        <v>0</v>
      </c>
      <c r="AC674" s="386" t="s">
        <v>163</v>
      </c>
      <c r="AD674" s="386" t="s">
        <v>175</v>
      </c>
      <c r="AE674" s="386"/>
      <c r="AF674" s="386"/>
    </row>
    <row r="675" spans="1:32" ht="13.5" hidden="1" thickBot="1" x14ac:dyDescent="0.25">
      <c r="A675" s="14" t="str">
        <f t="shared" si="199"/>
        <v/>
      </c>
      <c r="B675" s="69" t="s">
        <v>307</v>
      </c>
      <c r="C675" s="15"/>
      <c r="D675" s="242"/>
      <c r="E675" s="15" t="s">
        <v>13</v>
      </c>
      <c r="F675" s="37">
        <f>S675*G675</f>
        <v>0</v>
      </c>
      <c r="G675" s="32">
        <f t="shared" si="201"/>
        <v>3.3000000000000003</v>
      </c>
      <c r="H675" s="28" t="s">
        <v>68</v>
      </c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15"/>
      <c r="T675" s="7" t="s">
        <v>493</v>
      </c>
      <c r="U675" s="92"/>
      <c r="V675" s="92"/>
      <c r="W675" s="13">
        <f>100*rentFact</f>
        <v>110.00000000000001</v>
      </c>
      <c r="X675" s="110">
        <f t="shared" si="182"/>
        <v>0</v>
      </c>
      <c r="Y675" s="110">
        <f t="shared" si="202"/>
        <v>0</v>
      </c>
      <c r="Z675" s="110">
        <f t="shared" si="203"/>
        <v>0</v>
      </c>
      <c r="AA675" s="110">
        <f t="shared" si="183"/>
        <v>0</v>
      </c>
      <c r="AB675" s="110">
        <f t="shared" si="200"/>
        <v>0</v>
      </c>
      <c r="AC675" s="386" t="s">
        <v>163</v>
      </c>
      <c r="AD675" s="386" t="s">
        <v>175</v>
      </c>
      <c r="AE675" s="386"/>
      <c r="AF675" s="386"/>
    </row>
    <row r="676" spans="1:32" ht="13.5" hidden="1" thickBot="1" x14ac:dyDescent="0.25">
      <c r="A676" s="14" t="str">
        <f t="shared" si="199"/>
        <v/>
      </c>
      <c r="B676" s="69" t="s">
        <v>308</v>
      </c>
      <c r="C676" s="15"/>
      <c r="D676" s="242"/>
      <c r="E676" s="15" t="s">
        <v>13</v>
      </c>
      <c r="F676" s="37">
        <f>S676*G676</f>
        <v>0</v>
      </c>
      <c r="G676" s="32">
        <f t="shared" si="201"/>
        <v>3.3000000000000003</v>
      </c>
      <c r="H676" s="28" t="s">
        <v>68</v>
      </c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15"/>
      <c r="T676" s="7" t="s">
        <v>493</v>
      </c>
      <c r="U676" s="92"/>
      <c r="V676" s="92"/>
      <c r="W676" s="13">
        <f>350*rentFact</f>
        <v>385.00000000000006</v>
      </c>
      <c r="X676" s="110">
        <f t="shared" si="182"/>
        <v>0</v>
      </c>
      <c r="Y676" s="110">
        <f t="shared" si="202"/>
        <v>0</v>
      </c>
      <c r="Z676" s="110">
        <f t="shared" si="203"/>
        <v>0</v>
      </c>
      <c r="AA676" s="110">
        <f t="shared" si="183"/>
        <v>0</v>
      </c>
      <c r="AB676" s="110">
        <f t="shared" si="200"/>
        <v>0</v>
      </c>
      <c r="AC676" s="386" t="s">
        <v>163</v>
      </c>
      <c r="AD676" s="386" t="s">
        <v>175</v>
      </c>
      <c r="AE676" s="386"/>
      <c r="AF676" s="386"/>
    </row>
    <row r="677" spans="1:32" ht="13.5" hidden="1" thickBot="1" x14ac:dyDescent="0.25">
      <c r="A677" s="14" t="str">
        <f t="shared" ref="A677" si="204">+IF(AB677&lt;&gt;0,"X","")</f>
        <v/>
      </c>
      <c r="B677" s="69" t="s">
        <v>655</v>
      </c>
      <c r="C677" s="15"/>
      <c r="D677" s="242"/>
      <c r="E677" s="15"/>
      <c r="F677" s="37">
        <v>8.1</v>
      </c>
      <c r="G677" s="32">
        <f t="shared" si="201"/>
        <v>3.3000000000000003</v>
      </c>
      <c r="H677" s="28" t="s">
        <v>68</v>
      </c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15"/>
      <c r="T677" s="7" t="s">
        <v>493</v>
      </c>
      <c r="U677" s="92"/>
      <c r="V677" s="92"/>
      <c r="W677" s="13">
        <f>250*rentFact</f>
        <v>275</v>
      </c>
      <c r="X677" s="110">
        <f t="shared" ref="X677" si="205">IF(H677="L",V677*W677,0)</f>
        <v>0</v>
      </c>
      <c r="Y677" s="110">
        <f t="shared" ref="Y677" si="206">IF(H677="M",S677*W677,0)</f>
        <v>0</v>
      </c>
      <c r="Z677" s="110">
        <f t="shared" ref="Z677" si="207">IF(H677="S",S677*W677,0)</f>
        <v>0</v>
      </c>
      <c r="AA677" s="110">
        <f t="shared" ref="AA677" si="208">IF(H677="E",G677*S677*W677,0)</f>
        <v>0</v>
      </c>
      <c r="AB677" s="110">
        <f t="shared" ref="AB677" si="209">SUM(X677:AA677)</f>
        <v>0</v>
      </c>
      <c r="AC677" s="386" t="s">
        <v>163</v>
      </c>
      <c r="AD677" s="386" t="s">
        <v>175</v>
      </c>
      <c r="AE677" s="386"/>
      <c r="AF677" s="386"/>
    </row>
    <row r="678" spans="1:32" ht="13.5" hidden="1" thickBot="1" x14ac:dyDescent="0.25">
      <c r="A678" s="14" t="str">
        <f t="shared" si="199"/>
        <v/>
      </c>
      <c r="B678" s="69" t="s">
        <v>309</v>
      </c>
      <c r="C678" s="15"/>
      <c r="D678" s="242"/>
      <c r="E678" s="15" t="s">
        <v>13</v>
      </c>
      <c r="F678" s="37">
        <f>S678*G678</f>
        <v>0</v>
      </c>
      <c r="G678" s="32">
        <f t="shared" si="201"/>
        <v>3.3000000000000003</v>
      </c>
      <c r="H678" s="28" t="s">
        <v>68</v>
      </c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15"/>
      <c r="T678" s="7" t="s">
        <v>493</v>
      </c>
      <c r="U678" s="92"/>
      <c r="V678" s="92"/>
      <c r="W678" s="13">
        <f>230</f>
        <v>230</v>
      </c>
      <c r="X678" s="110">
        <f t="shared" si="182"/>
        <v>0</v>
      </c>
      <c r="Y678" s="110">
        <f t="shared" si="202"/>
        <v>0</v>
      </c>
      <c r="Z678" s="110">
        <f t="shared" si="203"/>
        <v>0</v>
      </c>
      <c r="AA678" s="110">
        <f t="shared" si="183"/>
        <v>0</v>
      </c>
      <c r="AB678" s="110">
        <f t="shared" si="200"/>
        <v>0</v>
      </c>
      <c r="AC678" s="386" t="s">
        <v>163</v>
      </c>
      <c r="AD678" s="386" t="s">
        <v>175</v>
      </c>
      <c r="AE678" s="386"/>
      <c r="AF678" s="386"/>
    </row>
    <row r="679" spans="1:32" ht="13.5" hidden="1" thickBot="1" x14ac:dyDescent="0.25">
      <c r="A679" s="14" t="str">
        <f t="shared" si="199"/>
        <v/>
      </c>
      <c r="B679" s="69" t="s">
        <v>310</v>
      </c>
      <c r="C679" s="15"/>
      <c r="D679" s="242"/>
      <c r="E679" s="15"/>
      <c r="F679" s="37">
        <v>50</v>
      </c>
      <c r="G679" s="32">
        <f t="shared" si="201"/>
        <v>3.3000000000000003</v>
      </c>
      <c r="H679" s="28" t="s">
        <v>68</v>
      </c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15"/>
      <c r="T679" s="7" t="s">
        <v>493</v>
      </c>
      <c r="U679" s="92"/>
      <c r="V679" s="92"/>
      <c r="W679" s="13">
        <f>135*rentFact</f>
        <v>148.5</v>
      </c>
      <c r="X679" s="110">
        <f t="shared" ref="X679:X714" si="210">IF(H679="L",V679*W679,0)</f>
        <v>0</v>
      </c>
      <c r="Y679" s="110">
        <f t="shared" si="202"/>
        <v>0</v>
      </c>
      <c r="Z679" s="110">
        <f t="shared" si="203"/>
        <v>0</v>
      </c>
      <c r="AA679" s="110">
        <f t="shared" ref="AA679:AA719" si="211">IF(H679="E",G679*S679*W679,0)</f>
        <v>0</v>
      </c>
      <c r="AB679" s="110">
        <f t="shared" si="200"/>
        <v>0</v>
      </c>
      <c r="AC679" s="386" t="s">
        <v>163</v>
      </c>
      <c r="AD679" s="386" t="s">
        <v>175</v>
      </c>
      <c r="AE679" s="386"/>
      <c r="AF679" s="386"/>
    </row>
    <row r="680" spans="1:32" ht="13.5" hidden="1" thickBot="1" x14ac:dyDescent="0.25">
      <c r="A680" s="14" t="str">
        <f t="shared" si="199"/>
        <v/>
      </c>
      <c r="B680" s="69" t="s">
        <v>311</v>
      </c>
      <c r="C680" s="15"/>
      <c r="D680" s="242"/>
      <c r="E680" s="15"/>
      <c r="F680" s="37">
        <v>70</v>
      </c>
      <c r="G680" s="32">
        <f t="shared" si="201"/>
        <v>3.3000000000000003</v>
      </c>
      <c r="H680" s="28" t="s">
        <v>68</v>
      </c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15"/>
      <c r="T680" s="7" t="s">
        <v>493</v>
      </c>
      <c r="U680" s="92"/>
      <c r="V680" s="92"/>
      <c r="W680" s="13">
        <f>470.89/3</f>
        <v>156.96333333333334</v>
      </c>
      <c r="X680" s="110">
        <f t="shared" si="210"/>
        <v>0</v>
      </c>
      <c r="Y680" s="110">
        <f t="shared" si="202"/>
        <v>0</v>
      </c>
      <c r="Z680" s="110">
        <f t="shared" si="203"/>
        <v>0</v>
      </c>
      <c r="AA680" s="110">
        <f t="shared" si="211"/>
        <v>0</v>
      </c>
      <c r="AB680" s="110">
        <f t="shared" si="200"/>
        <v>0</v>
      </c>
      <c r="AC680" s="386" t="s">
        <v>163</v>
      </c>
      <c r="AD680" s="386" t="s">
        <v>175</v>
      </c>
      <c r="AE680" s="386"/>
      <c r="AF680" s="386"/>
    </row>
    <row r="681" spans="1:32" ht="13.5" hidden="1" thickBot="1" x14ac:dyDescent="0.25">
      <c r="A681" s="14" t="str">
        <f t="shared" si="199"/>
        <v/>
      </c>
      <c r="B681" s="69" t="s">
        <v>312</v>
      </c>
      <c r="C681" s="15"/>
      <c r="D681" s="242"/>
      <c r="E681" s="15">
        <v>6</v>
      </c>
      <c r="F681" s="37">
        <v>250</v>
      </c>
      <c r="G681" s="32">
        <f t="shared" si="201"/>
        <v>3.3000000000000003</v>
      </c>
      <c r="H681" s="28" t="s">
        <v>68</v>
      </c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15"/>
      <c r="T681" s="7" t="s">
        <v>493</v>
      </c>
      <c r="U681" s="92"/>
      <c r="V681" s="92"/>
      <c r="W681" s="13">
        <f>695*rentFact</f>
        <v>764.50000000000011</v>
      </c>
      <c r="X681" s="110">
        <f t="shared" si="210"/>
        <v>0</v>
      </c>
      <c r="Y681" s="110">
        <f t="shared" si="202"/>
        <v>0</v>
      </c>
      <c r="Z681" s="110">
        <f t="shared" si="203"/>
        <v>0</v>
      </c>
      <c r="AA681" s="110">
        <f t="shared" si="211"/>
        <v>0</v>
      </c>
      <c r="AB681" s="110">
        <f t="shared" si="200"/>
        <v>0</v>
      </c>
      <c r="AC681" s="386" t="s">
        <v>163</v>
      </c>
      <c r="AD681" s="386" t="s">
        <v>175</v>
      </c>
      <c r="AE681" s="386"/>
      <c r="AF681" s="386"/>
    </row>
    <row r="682" spans="1:32" ht="13.5" hidden="1" thickBot="1" x14ac:dyDescent="0.25">
      <c r="A682" s="14" t="str">
        <f t="shared" si="199"/>
        <v/>
      </c>
      <c r="B682" s="69" t="s">
        <v>313</v>
      </c>
      <c r="C682" s="15"/>
      <c r="D682" s="242"/>
      <c r="E682" s="15">
        <v>10</v>
      </c>
      <c r="F682" s="37">
        <v>250</v>
      </c>
      <c r="G682" s="32">
        <f t="shared" si="201"/>
        <v>3.3000000000000003</v>
      </c>
      <c r="H682" s="28" t="s">
        <v>68</v>
      </c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15"/>
      <c r="T682" s="7" t="s">
        <v>493</v>
      </c>
      <c r="U682" s="92"/>
      <c r="V682" s="92"/>
      <c r="W682" s="13">
        <f>800*rentFact</f>
        <v>880.00000000000011</v>
      </c>
      <c r="X682" s="110">
        <f t="shared" si="210"/>
        <v>0</v>
      </c>
      <c r="Y682" s="110">
        <f t="shared" si="202"/>
        <v>0</v>
      </c>
      <c r="Z682" s="110">
        <f t="shared" si="203"/>
        <v>0</v>
      </c>
      <c r="AA682" s="110">
        <f t="shared" si="211"/>
        <v>0</v>
      </c>
      <c r="AB682" s="110">
        <f t="shared" si="200"/>
        <v>0</v>
      </c>
      <c r="AC682" s="386" t="s">
        <v>163</v>
      </c>
      <c r="AD682" s="386" t="s">
        <v>175</v>
      </c>
      <c r="AE682" s="386"/>
      <c r="AF682" s="386"/>
    </row>
    <row r="683" spans="1:32" ht="13.5" hidden="1" thickBot="1" x14ac:dyDescent="0.25">
      <c r="A683" s="14" t="str">
        <f t="shared" si="199"/>
        <v/>
      </c>
      <c r="B683" s="69" t="s">
        <v>314</v>
      </c>
      <c r="C683" s="15"/>
      <c r="D683" s="242"/>
      <c r="E683" s="15">
        <v>8</v>
      </c>
      <c r="F683" s="37">
        <v>150</v>
      </c>
      <c r="G683" s="32">
        <f t="shared" si="201"/>
        <v>3.3000000000000003</v>
      </c>
      <c r="H683" s="28" t="s">
        <v>68</v>
      </c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15"/>
      <c r="T683" s="7" t="s">
        <v>493</v>
      </c>
      <c r="U683" s="92"/>
      <c r="V683" s="92"/>
      <c r="W683" s="13">
        <f>600*rentFact</f>
        <v>660</v>
      </c>
      <c r="X683" s="110">
        <f t="shared" si="210"/>
        <v>0</v>
      </c>
      <c r="Y683" s="110">
        <f t="shared" si="202"/>
        <v>0</v>
      </c>
      <c r="Z683" s="110">
        <f t="shared" si="203"/>
        <v>0</v>
      </c>
      <c r="AA683" s="110">
        <f t="shared" si="211"/>
        <v>0</v>
      </c>
      <c r="AB683" s="110">
        <f t="shared" si="200"/>
        <v>0</v>
      </c>
      <c r="AC683" s="386" t="s">
        <v>163</v>
      </c>
      <c r="AD683" s="386" t="s">
        <v>175</v>
      </c>
      <c r="AE683" s="386"/>
      <c r="AF683" s="386"/>
    </row>
    <row r="684" spans="1:32" ht="13.5" thickBot="1" x14ac:dyDescent="0.25">
      <c r="A684" s="14" t="str">
        <f>IF(SUM(AB685:AB775)&lt;&gt;0,"X","")</f>
        <v>X</v>
      </c>
      <c r="B684" s="198" t="s">
        <v>315</v>
      </c>
      <c r="C684" s="200" t="s">
        <v>13</v>
      </c>
      <c r="D684" s="259"/>
      <c r="E684" s="217" t="s">
        <v>63</v>
      </c>
      <c r="F684" s="217" t="s">
        <v>72</v>
      </c>
      <c r="G684" s="217" t="s">
        <v>21</v>
      </c>
      <c r="H684" s="199"/>
      <c r="I684" s="199"/>
      <c r="J684" s="199"/>
      <c r="K684" s="199"/>
      <c r="L684" s="199"/>
      <c r="M684" s="199"/>
      <c r="N684" s="199"/>
      <c r="O684" s="199"/>
      <c r="P684" s="199"/>
      <c r="Q684" s="199"/>
      <c r="R684" s="199"/>
      <c r="S684" s="217"/>
      <c r="T684" s="200"/>
      <c r="U684" s="208"/>
      <c r="V684" s="202"/>
      <c r="W684" s="203"/>
      <c r="X684" s="204">
        <f t="shared" si="210"/>
        <v>0</v>
      </c>
      <c r="Y684" s="204">
        <f t="shared" si="202"/>
        <v>0</v>
      </c>
      <c r="Z684" s="204">
        <f t="shared" si="203"/>
        <v>0</v>
      </c>
      <c r="AA684" s="204">
        <f t="shared" si="211"/>
        <v>0</v>
      </c>
      <c r="AB684" s="205">
        <f t="shared" si="200"/>
        <v>0</v>
      </c>
      <c r="AC684" s="369"/>
      <c r="AD684" s="369"/>
      <c r="AE684" s="369" t="s">
        <v>13</v>
      </c>
      <c r="AF684" s="369"/>
    </row>
    <row r="685" spans="1:32" x14ac:dyDescent="0.2">
      <c r="A685" s="14" t="str">
        <f t="shared" ref="A685:A723" si="212">+IF(AB685&lt;&gt;0,"X","")</f>
        <v>X</v>
      </c>
      <c r="B685" s="70" t="s">
        <v>316</v>
      </c>
      <c r="C685" s="15" t="s">
        <v>796</v>
      </c>
      <c r="D685" s="242"/>
      <c r="E685" s="18">
        <v>6</v>
      </c>
      <c r="F685" s="38">
        <v>200</v>
      </c>
      <c r="G685" s="39">
        <f t="shared" ref="G685:G723" si="213">sch_Mech_Mo</f>
        <v>2.8000000000000003</v>
      </c>
      <c r="H685" s="28" t="s">
        <v>68</v>
      </c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18">
        <v>1</v>
      </c>
      <c r="T685" s="19" t="s">
        <v>493</v>
      </c>
      <c r="U685" s="308"/>
      <c r="V685" s="92"/>
      <c r="W685" s="13">
        <v>2717</v>
      </c>
      <c r="X685" s="109">
        <f t="shared" si="210"/>
        <v>0</v>
      </c>
      <c r="Y685" s="109">
        <f t="shared" si="202"/>
        <v>0</v>
      </c>
      <c r="Z685" s="109">
        <f t="shared" si="203"/>
        <v>0</v>
      </c>
      <c r="AA685" s="109">
        <f t="shared" si="211"/>
        <v>7607.6</v>
      </c>
      <c r="AB685" s="109">
        <f t="shared" si="200"/>
        <v>7607.6</v>
      </c>
      <c r="AC685" s="386" t="s">
        <v>163</v>
      </c>
      <c r="AD685" s="386" t="s">
        <v>176</v>
      </c>
      <c r="AE685" s="386"/>
      <c r="AF685" s="386"/>
    </row>
    <row r="686" spans="1:32" hidden="1" x14ac:dyDescent="0.2">
      <c r="A686" s="14" t="str">
        <f t="shared" si="212"/>
        <v/>
      </c>
      <c r="B686" s="70" t="s">
        <v>661</v>
      </c>
      <c r="C686" s="15"/>
      <c r="D686" s="242"/>
      <c r="E686" s="18">
        <v>20</v>
      </c>
      <c r="F686" s="38">
        <v>200</v>
      </c>
      <c r="G686" s="39">
        <f t="shared" si="213"/>
        <v>2.8000000000000003</v>
      </c>
      <c r="H686" s="28" t="s">
        <v>68</v>
      </c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18"/>
      <c r="T686" s="19" t="s">
        <v>493</v>
      </c>
      <c r="U686" s="308"/>
      <c r="V686" s="92"/>
      <c r="W686" s="13">
        <f>2350*rentFact</f>
        <v>2585</v>
      </c>
      <c r="X686" s="109">
        <f t="shared" si="210"/>
        <v>0</v>
      </c>
      <c r="Y686" s="109">
        <f t="shared" si="202"/>
        <v>0</v>
      </c>
      <c r="Z686" s="109">
        <f t="shared" si="203"/>
        <v>0</v>
      </c>
      <c r="AA686" s="109">
        <f t="shared" si="211"/>
        <v>0</v>
      </c>
      <c r="AB686" s="109">
        <f t="shared" si="200"/>
        <v>0</v>
      </c>
      <c r="AC686" s="386" t="s">
        <v>163</v>
      </c>
      <c r="AD686" s="386" t="s">
        <v>176</v>
      </c>
      <c r="AE686" s="386"/>
      <c r="AF686" s="386"/>
    </row>
    <row r="687" spans="1:32" hidden="1" x14ac:dyDescent="0.2">
      <c r="A687" s="14" t="str">
        <f t="shared" ref="A687" si="214">+IF(AB687&lt;&gt;0,"X","")</f>
        <v/>
      </c>
      <c r="B687" s="70" t="s">
        <v>662</v>
      </c>
      <c r="C687" s="15"/>
      <c r="D687" s="242"/>
      <c r="E687" s="18">
        <v>20</v>
      </c>
      <c r="F687" s="38">
        <v>200</v>
      </c>
      <c r="G687" s="39">
        <f t="shared" si="213"/>
        <v>2.8000000000000003</v>
      </c>
      <c r="H687" s="28" t="s">
        <v>68</v>
      </c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18"/>
      <c r="T687" s="19" t="s">
        <v>493</v>
      </c>
      <c r="U687" s="308"/>
      <c r="V687" s="92"/>
      <c r="W687" s="13">
        <f>6700*rentFact</f>
        <v>7370.0000000000009</v>
      </c>
      <c r="X687" s="109">
        <f t="shared" ref="X687" si="215">IF(H687="L",V687*W687,0)</f>
        <v>0</v>
      </c>
      <c r="Y687" s="109">
        <f t="shared" ref="Y687" si="216">IF(H687="M",S687*W687,0)</f>
        <v>0</v>
      </c>
      <c r="Z687" s="109">
        <f t="shared" ref="Z687" si="217">IF(H687="S",S687*W687,0)</f>
        <v>0</v>
      </c>
      <c r="AA687" s="109">
        <f t="shared" ref="AA687" si="218">IF(H687="E",G687*S687*W687,0)</f>
        <v>0</v>
      </c>
      <c r="AB687" s="109">
        <f t="shared" ref="AB687" si="219">SUM(X687:AA687)</f>
        <v>0</v>
      </c>
      <c r="AC687" s="386" t="s">
        <v>163</v>
      </c>
      <c r="AD687" s="386" t="s">
        <v>176</v>
      </c>
      <c r="AE687" s="386"/>
      <c r="AF687" s="386"/>
    </row>
    <row r="688" spans="1:32" hidden="1" x14ac:dyDescent="0.2">
      <c r="A688" s="14"/>
      <c r="B688" s="70" t="s">
        <v>651</v>
      </c>
      <c r="C688" s="15"/>
      <c r="D688" s="242"/>
      <c r="E688" s="18"/>
      <c r="F688" s="38">
        <v>200</v>
      </c>
      <c r="G688" s="39">
        <f t="shared" si="213"/>
        <v>2.8000000000000003</v>
      </c>
      <c r="H688" s="28" t="s">
        <v>68</v>
      </c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18"/>
      <c r="T688" s="19" t="s">
        <v>493</v>
      </c>
      <c r="U688" s="308"/>
      <c r="V688" s="92"/>
      <c r="W688" s="13">
        <f>830*rentFact</f>
        <v>913.00000000000011</v>
      </c>
      <c r="X688" s="109">
        <f t="shared" ref="X688" si="220">IF(H688="L",V688*W688,0)</f>
        <v>0</v>
      </c>
      <c r="Y688" s="109">
        <f t="shared" ref="Y688" si="221">IF(H688="M",S688*W688,0)</f>
        <v>0</v>
      </c>
      <c r="Z688" s="109">
        <f t="shared" ref="Z688" si="222">IF(H688="S",S688*W688,0)</f>
        <v>0</v>
      </c>
      <c r="AA688" s="109">
        <f t="shared" ref="AA688" si="223">IF(H688="E",G688*S688*W688,0)</f>
        <v>0</v>
      </c>
      <c r="AB688" s="109">
        <f t="shared" ref="AB688" si="224">SUM(X688:AA688)</f>
        <v>0</v>
      </c>
      <c r="AC688" s="386" t="s">
        <v>163</v>
      </c>
      <c r="AD688" s="386" t="s">
        <v>176</v>
      </c>
      <c r="AE688" s="386"/>
      <c r="AF688" s="386"/>
    </row>
    <row r="689" spans="1:32" hidden="1" x14ac:dyDescent="0.2">
      <c r="A689" s="14" t="str">
        <f t="shared" si="212"/>
        <v/>
      </c>
      <c r="B689" s="69" t="s">
        <v>317</v>
      </c>
      <c r="C689" s="15"/>
      <c r="D689" s="242"/>
      <c r="E689" s="15">
        <v>50</v>
      </c>
      <c r="F689" s="38">
        <v>200</v>
      </c>
      <c r="G689" s="32">
        <f t="shared" si="213"/>
        <v>2.8000000000000003</v>
      </c>
      <c r="H689" s="28" t="s">
        <v>68</v>
      </c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15"/>
      <c r="T689" s="7" t="s">
        <v>493</v>
      </c>
      <c r="U689" s="308"/>
      <c r="V689" s="92"/>
      <c r="W689" s="13">
        <f>(60*6*3*3)*rentFact</f>
        <v>3564.0000000000005</v>
      </c>
      <c r="X689" s="110">
        <f t="shared" si="210"/>
        <v>0</v>
      </c>
      <c r="Y689" s="110">
        <f t="shared" si="202"/>
        <v>0</v>
      </c>
      <c r="Z689" s="110">
        <f t="shared" si="203"/>
        <v>0</v>
      </c>
      <c r="AA689" s="110">
        <f t="shared" si="211"/>
        <v>0</v>
      </c>
      <c r="AB689" s="110">
        <f t="shared" si="200"/>
        <v>0</v>
      </c>
      <c r="AC689" s="386" t="s">
        <v>163</v>
      </c>
      <c r="AD689" s="386" t="s">
        <v>176</v>
      </c>
      <c r="AE689" s="386"/>
      <c r="AF689" s="386"/>
    </row>
    <row r="690" spans="1:32" hidden="1" x14ac:dyDescent="0.2">
      <c r="A690" s="14" t="str">
        <f t="shared" ref="A690" si="225">+IF(AB690&lt;&gt;0,"X","")</f>
        <v/>
      </c>
      <c r="B690" s="69" t="s">
        <v>660</v>
      </c>
      <c r="C690" s="15"/>
      <c r="D690" s="242"/>
      <c r="E690" s="15">
        <v>50</v>
      </c>
      <c r="F690" s="38">
        <v>200</v>
      </c>
      <c r="G690" s="32">
        <f t="shared" si="213"/>
        <v>2.8000000000000003</v>
      </c>
      <c r="H690" s="28" t="s">
        <v>68</v>
      </c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15"/>
      <c r="T690" s="7" t="s">
        <v>493</v>
      </c>
      <c r="U690" s="308"/>
      <c r="V690" s="92"/>
      <c r="W690" s="13">
        <f>3000*rentFact</f>
        <v>3300.0000000000005</v>
      </c>
      <c r="X690" s="110">
        <f t="shared" ref="X690" si="226">IF(H690="L",V690*W690,0)</f>
        <v>0</v>
      </c>
      <c r="Y690" s="110">
        <f t="shared" ref="Y690" si="227">IF(H690="M",S690*W690,0)</f>
        <v>0</v>
      </c>
      <c r="Z690" s="110">
        <f t="shared" ref="Z690" si="228">IF(H690="S",S690*W690,0)</f>
        <v>0</v>
      </c>
      <c r="AA690" s="110">
        <f t="shared" ref="AA690" si="229">IF(H690="E",G690*S690*W690,0)</f>
        <v>0</v>
      </c>
      <c r="AB690" s="110">
        <f t="shared" ref="AB690" si="230">SUM(X690:AA690)</f>
        <v>0</v>
      </c>
      <c r="AC690" s="386" t="s">
        <v>163</v>
      </c>
      <c r="AD690" s="386" t="s">
        <v>176</v>
      </c>
      <c r="AE690" s="386"/>
      <c r="AF690" s="386"/>
    </row>
    <row r="691" spans="1:32" hidden="1" x14ac:dyDescent="0.2">
      <c r="A691" s="14" t="str">
        <f t="shared" si="212"/>
        <v/>
      </c>
      <c r="B691" s="69" t="s">
        <v>625</v>
      </c>
      <c r="C691" s="15"/>
      <c r="D691" s="242"/>
      <c r="E691" s="15">
        <v>20</v>
      </c>
      <c r="F691" s="38">
        <v>300</v>
      </c>
      <c r="G691" s="32">
        <f t="shared" si="213"/>
        <v>2.8000000000000003</v>
      </c>
      <c r="H691" s="28" t="s">
        <v>68</v>
      </c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15"/>
      <c r="T691" s="7" t="s">
        <v>493</v>
      </c>
      <c r="U691" s="308"/>
      <c r="V691" s="92"/>
      <c r="W691" s="13">
        <f>1800*rentFact</f>
        <v>1980.0000000000002</v>
      </c>
      <c r="X691" s="110">
        <f t="shared" si="210"/>
        <v>0</v>
      </c>
      <c r="Y691" s="110">
        <f t="shared" si="202"/>
        <v>0</v>
      </c>
      <c r="Z691" s="110">
        <f t="shared" si="203"/>
        <v>0</v>
      </c>
      <c r="AA691" s="110">
        <f t="shared" si="211"/>
        <v>0</v>
      </c>
      <c r="AB691" s="110">
        <f t="shared" si="200"/>
        <v>0</v>
      </c>
      <c r="AC691" s="386" t="s">
        <v>163</v>
      </c>
      <c r="AD691" s="386" t="s">
        <v>176</v>
      </c>
      <c r="AE691" s="386"/>
      <c r="AF691" s="386"/>
    </row>
    <row r="692" spans="1:32" hidden="1" x14ac:dyDescent="0.2">
      <c r="A692" s="14" t="str">
        <f t="shared" si="212"/>
        <v/>
      </c>
      <c r="B692" s="69" t="s">
        <v>318</v>
      </c>
      <c r="C692" s="15"/>
      <c r="D692" s="242"/>
      <c r="E692" s="15">
        <v>25</v>
      </c>
      <c r="F692" s="38">
        <v>800</v>
      </c>
      <c r="G692" s="32">
        <f t="shared" si="213"/>
        <v>2.8000000000000003</v>
      </c>
      <c r="H692" s="28" t="s">
        <v>68</v>
      </c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15"/>
      <c r="T692" s="7" t="s">
        <v>493</v>
      </c>
      <c r="U692" s="308"/>
      <c r="V692" s="92"/>
      <c r="W692" s="13">
        <f>4200*rentFact</f>
        <v>4620</v>
      </c>
      <c r="X692" s="110">
        <f t="shared" si="210"/>
        <v>0</v>
      </c>
      <c r="Y692" s="110">
        <f t="shared" si="202"/>
        <v>0</v>
      </c>
      <c r="Z692" s="110">
        <f t="shared" si="203"/>
        <v>0</v>
      </c>
      <c r="AA692" s="110">
        <f t="shared" si="211"/>
        <v>0</v>
      </c>
      <c r="AB692" s="110">
        <f t="shared" si="200"/>
        <v>0</v>
      </c>
      <c r="AC692" s="386" t="s">
        <v>163</v>
      </c>
      <c r="AD692" s="386" t="s">
        <v>176</v>
      </c>
      <c r="AE692" s="386"/>
      <c r="AF692" s="386"/>
    </row>
    <row r="693" spans="1:32" hidden="1" x14ac:dyDescent="0.2">
      <c r="A693" s="14" t="str">
        <f t="shared" si="212"/>
        <v/>
      </c>
      <c r="B693" s="69" t="s">
        <v>319</v>
      </c>
      <c r="C693" s="15"/>
      <c r="D693" s="242"/>
      <c r="E693" s="15">
        <v>12</v>
      </c>
      <c r="F693" s="38">
        <v>800</v>
      </c>
      <c r="G693" s="32">
        <f t="shared" si="213"/>
        <v>2.8000000000000003</v>
      </c>
      <c r="H693" s="28" t="s">
        <v>68</v>
      </c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15"/>
      <c r="T693" s="7" t="s">
        <v>493</v>
      </c>
      <c r="U693" s="308"/>
      <c r="V693" s="92"/>
      <c r="W693" s="13">
        <f>2925*rentFact</f>
        <v>3217.5000000000005</v>
      </c>
      <c r="X693" s="110">
        <f t="shared" si="210"/>
        <v>0</v>
      </c>
      <c r="Y693" s="110">
        <f t="shared" si="202"/>
        <v>0</v>
      </c>
      <c r="Z693" s="110">
        <f t="shared" si="203"/>
        <v>0</v>
      </c>
      <c r="AA693" s="110">
        <f t="shared" si="211"/>
        <v>0</v>
      </c>
      <c r="AB693" s="110">
        <f t="shared" si="200"/>
        <v>0</v>
      </c>
      <c r="AC693" s="386" t="s">
        <v>163</v>
      </c>
      <c r="AD693" s="386" t="s">
        <v>176</v>
      </c>
      <c r="AE693" s="386"/>
      <c r="AF693" s="386"/>
    </row>
    <row r="694" spans="1:32" hidden="1" x14ac:dyDescent="0.2">
      <c r="A694" s="14" t="str">
        <f t="shared" si="212"/>
        <v/>
      </c>
      <c r="B694" s="69" t="s">
        <v>320</v>
      </c>
      <c r="C694" s="15"/>
      <c r="D694" s="242"/>
      <c r="E694" s="15">
        <v>20</v>
      </c>
      <c r="F694" s="38">
        <v>700</v>
      </c>
      <c r="G694" s="32">
        <f t="shared" si="213"/>
        <v>2.8000000000000003</v>
      </c>
      <c r="H694" s="28" t="s">
        <v>68</v>
      </c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15"/>
      <c r="T694" s="7" t="s">
        <v>493</v>
      </c>
      <c r="U694" s="308"/>
      <c r="V694" s="92"/>
      <c r="W694" s="13">
        <f>3200*rentFact</f>
        <v>3520.0000000000005</v>
      </c>
      <c r="X694" s="110">
        <f t="shared" si="210"/>
        <v>0</v>
      </c>
      <c r="Y694" s="110">
        <f t="shared" si="202"/>
        <v>0</v>
      </c>
      <c r="Z694" s="110">
        <f t="shared" si="203"/>
        <v>0</v>
      </c>
      <c r="AA694" s="110">
        <f t="shared" si="211"/>
        <v>0</v>
      </c>
      <c r="AB694" s="110">
        <f t="shared" si="200"/>
        <v>0</v>
      </c>
      <c r="AC694" s="386" t="s">
        <v>163</v>
      </c>
      <c r="AD694" s="386" t="s">
        <v>176</v>
      </c>
      <c r="AE694" s="386"/>
      <c r="AF694" s="386"/>
    </row>
    <row r="695" spans="1:32" hidden="1" x14ac:dyDescent="0.2">
      <c r="A695" s="14" t="str">
        <f t="shared" si="212"/>
        <v/>
      </c>
      <c r="B695" s="100" t="s">
        <v>487</v>
      </c>
      <c r="C695" s="15"/>
      <c r="D695" s="242"/>
      <c r="E695" s="15">
        <v>15</v>
      </c>
      <c r="F695" s="38">
        <v>300</v>
      </c>
      <c r="G695" s="32">
        <f t="shared" si="213"/>
        <v>2.8000000000000003</v>
      </c>
      <c r="H695" s="28" t="s">
        <v>68</v>
      </c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15"/>
      <c r="T695" s="7" t="s">
        <v>493</v>
      </c>
      <c r="U695" s="308"/>
      <c r="V695" s="92"/>
      <c r="W695" s="13">
        <f>2300*rentFact</f>
        <v>2530</v>
      </c>
      <c r="X695" s="110">
        <f t="shared" si="210"/>
        <v>0</v>
      </c>
      <c r="Y695" s="110">
        <f t="shared" si="202"/>
        <v>0</v>
      </c>
      <c r="Z695" s="110">
        <f t="shared" si="203"/>
        <v>0</v>
      </c>
      <c r="AA695" s="110">
        <f t="shared" si="211"/>
        <v>0</v>
      </c>
      <c r="AB695" s="110">
        <f t="shared" si="200"/>
        <v>0</v>
      </c>
      <c r="AC695" s="386" t="s">
        <v>163</v>
      </c>
      <c r="AD695" s="386" t="s">
        <v>176</v>
      </c>
      <c r="AE695" s="386"/>
      <c r="AF695" s="386"/>
    </row>
    <row r="696" spans="1:32" hidden="1" x14ac:dyDescent="0.2">
      <c r="A696" s="14" t="str">
        <f t="shared" si="212"/>
        <v/>
      </c>
      <c r="B696" s="100" t="s">
        <v>484</v>
      </c>
      <c r="C696" s="15"/>
      <c r="D696" s="242"/>
      <c r="E696" s="15">
        <v>15</v>
      </c>
      <c r="F696" s="38">
        <v>400</v>
      </c>
      <c r="G696" s="32">
        <f t="shared" si="213"/>
        <v>2.8000000000000003</v>
      </c>
      <c r="H696" s="28" t="s">
        <v>68</v>
      </c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15"/>
      <c r="T696" s="7" t="s">
        <v>493</v>
      </c>
      <c r="U696" s="308"/>
      <c r="V696" s="92"/>
      <c r="W696" s="13">
        <f>1750*rentFact</f>
        <v>1925.0000000000002</v>
      </c>
      <c r="X696" s="110">
        <f t="shared" si="210"/>
        <v>0</v>
      </c>
      <c r="Y696" s="110">
        <f t="shared" si="202"/>
        <v>0</v>
      </c>
      <c r="Z696" s="110">
        <f t="shared" si="203"/>
        <v>0</v>
      </c>
      <c r="AA696" s="110">
        <f t="shared" si="211"/>
        <v>0</v>
      </c>
      <c r="AB696" s="110">
        <f t="shared" si="200"/>
        <v>0</v>
      </c>
      <c r="AC696" s="386" t="s">
        <v>163</v>
      </c>
      <c r="AD696" s="386" t="s">
        <v>176</v>
      </c>
      <c r="AE696" s="386"/>
      <c r="AF696" s="386"/>
    </row>
    <row r="697" spans="1:32" hidden="1" x14ac:dyDescent="0.2">
      <c r="A697" s="14" t="str">
        <f t="shared" si="212"/>
        <v/>
      </c>
      <c r="B697" s="100" t="s">
        <v>485</v>
      </c>
      <c r="C697" s="15"/>
      <c r="D697" s="242"/>
      <c r="E697" s="15">
        <v>15</v>
      </c>
      <c r="F697" s="38">
        <v>500</v>
      </c>
      <c r="G697" s="32">
        <f t="shared" si="213"/>
        <v>2.8000000000000003</v>
      </c>
      <c r="H697" s="28" t="s">
        <v>68</v>
      </c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15"/>
      <c r="T697" s="7" t="s">
        <v>493</v>
      </c>
      <c r="U697" s="308"/>
      <c r="V697" s="92"/>
      <c r="W697" s="13">
        <f>2200*rentFact</f>
        <v>2420</v>
      </c>
      <c r="X697" s="110">
        <f t="shared" si="210"/>
        <v>0</v>
      </c>
      <c r="Y697" s="110">
        <f t="shared" si="202"/>
        <v>0</v>
      </c>
      <c r="Z697" s="110">
        <f t="shared" si="203"/>
        <v>0</v>
      </c>
      <c r="AA697" s="110">
        <f t="shared" si="211"/>
        <v>0</v>
      </c>
      <c r="AB697" s="110">
        <f t="shared" si="200"/>
        <v>0</v>
      </c>
      <c r="AC697" s="386" t="s">
        <v>163</v>
      </c>
      <c r="AD697" s="386" t="s">
        <v>176</v>
      </c>
      <c r="AE697" s="386"/>
      <c r="AF697" s="386"/>
    </row>
    <row r="698" spans="1:32" hidden="1" x14ac:dyDescent="0.2">
      <c r="A698" s="14" t="str">
        <f t="shared" si="212"/>
        <v/>
      </c>
      <c r="B698" s="100" t="s">
        <v>486</v>
      </c>
      <c r="C698" s="15"/>
      <c r="D698" s="242"/>
      <c r="E698" s="15">
        <v>15</v>
      </c>
      <c r="F698" s="38">
        <v>600</v>
      </c>
      <c r="G698" s="32">
        <f t="shared" si="213"/>
        <v>2.8000000000000003</v>
      </c>
      <c r="H698" s="28" t="s">
        <v>68</v>
      </c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15"/>
      <c r="T698" s="7" t="s">
        <v>493</v>
      </c>
      <c r="U698" s="308"/>
      <c r="V698" s="92"/>
      <c r="W698" s="13">
        <f>3350*rentFact</f>
        <v>3685.0000000000005</v>
      </c>
      <c r="X698" s="110">
        <f t="shared" si="210"/>
        <v>0</v>
      </c>
      <c r="Y698" s="110">
        <f t="shared" si="202"/>
        <v>0</v>
      </c>
      <c r="Z698" s="110">
        <f t="shared" si="203"/>
        <v>0</v>
      </c>
      <c r="AA698" s="110">
        <f t="shared" si="211"/>
        <v>0</v>
      </c>
      <c r="AB698" s="110">
        <f t="shared" si="200"/>
        <v>0</v>
      </c>
      <c r="AC698" s="386" t="s">
        <v>163</v>
      </c>
      <c r="AD698" s="386" t="s">
        <v>176</v>
      </c>
      <c r="AE698" s="386"/>
      <c r="AF698" s="386"/>
    </row>
    <row r="699" spans="1:32" hidden="1" x14ac:dyDescent="0.2">
      <c r="A699" s="14" t="str">
        <f t="shared" si="212"/>
        <v/>
      </c>
      <c r="B699" s="100" t="s">
        <v>570</v>
      </c>
      <c r="C699" s="15"/>
      <c r="D699" s="242"/>
      <c r="E699" s="15">
        <v>8</v>
      </c>
      <c r="F699" s="37">
        <v>700</v>
      </c>
      <c r="G699" s="32">
        <f t="shared" si="213"/>
        <v>2.8000000000000003</v>
      </c>
      <c r="H699" s="28" t="s">
        <v>68</v>
      </c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15"/>
      <c r="T699" s="7" t="s">
        <v>493</v>
      </c>
      <c r="U699" s="308"/>
      <c r="V699" s="92"/>
      <c r="W699" s="13">
        <f>2639*rentFact</f>
        <v>2902.9</v>
      </c>
      <c r="X699" s="110">
        <f t="shared" si="210"/>
        <v>0</v>
      </c>
      <c r="Y699" s="110">
        <f t="shared" si="202"/>
        <v>0</v>
      </c>
      <c r="Z699" s="110">
        <f t="shared" si="203"/>
        <v>0</v>
      </c>
      <c r="AA699" s="110">
        <f t="shared" si="211"/>
        <v>0</v>
      </c>
      <c r="AB699" s="110">
        <f t="shared" ref="AB699:AB719" si="231">SUM(X699:AA699)</f>
        <v>0</v>
      </c>
      <c r="AC699" s="386" t="s">
        <v>163</v>
      </c>
      <c r="AD699" s="386" t="s">
        <v>176</v>
      </c>
      <c r="AE699" s="386"/>
      <c r="AF699" s="386"/>
    </row>
    <row r="700" spans="1:32" hidden="1" x14ac:dyDescent="0.2">
      <c r="A700" s="14" t="str">
        <f t="shared" si="212"/>
        <v/>
      </c>
      <c r="B700" s="100" t="s">
        <v>571</v>
      </c>
      <c r="C700" s="15"/>
      <c r="D700" s="242"/>
      <c r="E700" s="15">
        <v>10</v>
      </c>
      <c r="F700" s="37">
        <v>700</v>
      </c>
      <c r="G700" s="32">
        <f t="shared" si="213"/>
        <v>2.8000000000000003</v>
      </c>
      <c r="H700" s="28" t="s">
        <v>68</v>
      </c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15"/>
      <c r="T700" s="7" t="s">
        <v>493</v>
      </c>
      <c r="U700" s="308"/>
      <c r="V700" s="92"/>
      <c r="W700" s="13">
        <f>3857*rentFact</f>
        <v>4242.7000000000007</v>
      </c>
      <c r="X700" s="110">
        <f t="shared" si="210"/>
        <v>0</v>
      </c>
      <c r="Y700" s="110">
        <f t="shared" si="202"/>
        <v>0</v>
      </c>
      <c r="Z700" s="110">
        <f t="shared" si="203"/>
        <v>0</v>
      </c>
      <c r="AA700" s="110">
        <f t="shared" si="211"/>
        <v>0</v>
      </c>
      <c r="AB700" s="110">
        <f t="shared" si="231"/>
        <v>0</v>
      </c>
      <c r="AC700" s="386" t="s">
        <v>163</v>
      </c>
      <c r="AD700" s="386" t="s">
        <v>176</v>
      </c>
      <c r="AE700" s="386"/>
      <c r="AF700" s="386"/>
    </row>
    <row r="701" spans="1:32" hidden="1" x14ac:dyDescent="0.2">
      <c r="A701" s="14" t="str">
        <f t="shared" si="212"/>
        <v/>
      </c>
      <c r="B701" s="100" t="s">
        <v>564</v>
      </c>
      <c r="C701" s="15"/>
      <c r="D701" s="242"/>
      <c r="E701" s="15">
        <v>13</v>
      </c>
      <c r="F701" s="37">
        <v>700</v>
      </c>
      <c r="G701" s="32">
        <f t="shared" si="213"/>
        <v>2.8000000000000003</v>
      </c>
      <c r="H701" s="28" t="s">
        <v>68</v>
      </c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15"/>
      <c r="T701" s="7" t="s">
        <v>493</v>
      </c>
      <c r="U701" s="308"/>
      <c r="V701" s="92"/>
      <c r="W701" s="13">
        <f>5836.25*rentFact</f>
        <v>6419.8750000000009</v>
      </c>
      <c r="X701" s="110">
        <f t="shared" si="210"/>
        <v>0</v>
      </c>
      <c r="Y701" s="110">
        <f t="shared" si="202"/>
        <v>0</v>
      </c>
      <c r="Z701" s="110">
        <f t="shared" si="203"/>
        <v>0</v>
      </c>
      <c r="AA701" s="110">
        <f t="shared" si="211"/>
        <v>0</v>
      </c>
      <c r="AB701" s="110">
        <f t="shared" si="231"/>
        <v>0</v>
      </c>
      <c r="AC701" s="386" t="s">
        <v>163</v>
      </c>
      <c r="AD701" s="386" t="s">
        <v>176</v>
      </c>
      <c r="AE701" s="386"/>
      <c r="AF701" s="386"/>
    </row>
    <row r="702" spans="1:32" hidden="1" x14ac:dyDescent="0.2">
      <c r="A702" s="14" t="str">
        <f t="shared" si="212"/>
        <v/>
      </c>
      <c r="B702" s="100" t="s">
        <v>565</v>
      </c>
      <c r="C702" s="15"/>
      <c r="D702" s="242"/>
      <c r="E702" s="15">
        <v>14</v>
      </c>
      <c r="F702" s="37">
        <v>700</v>
      </c>
      <c r="G702" s="32">
        <f t="shared" si="213"/>
        <v>2.8000000000000003</v>
      </c>
      <c r="H702" s="28" t="s">
        <v>68</v>
      </c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15"/>
      <c r="T702" s="7" t="s">
        <v>493</v>
      </c>
      <c r="U702" s="308"/>
      <c r="V702" s="92"/>
      <c r="W702" s="13">
        <f>6343.75*rentFact</f>
        <v>6978.1250000000009</v>
      </c>
      <c r="X702" s="110">
        <f t="shared" si="210"/>
        <v>0</v>
      </c>
      <c r="Y702" s="110">
        <f t="shared" si="202"/>
        <v>0</v>
      </c>
      <c r="Z702" s="110">
        <f t="shared" si="203"/>
        <v>0</v>
      </c>
      <c r="AA702" s="110">
        <f t="shared" si="211"/>
        <v>0</v>
      </c>
      <c r="AB702" s="110">
        <f t="shared" si="231"/>
        <v>0</v>
      </c>
      <c r="AC702" s="386" t="s">
        <v>163</v>
      </c>
      <c r="AD702" s="386" t="s">
        <v>176</v>
      </c>
      <c r="AE702" s="386"/>
      <c r="AF702" s="386"/>
    </row>
    <row r="703" spans="1:32" hidden="1" x14ac:dyDescent="0.2">
      <c r="A703" s="14" t="str">
        <f t="shared" si="212"/>
        <v/>
      </c>
      <c r="B703" s="100" t="s">
        <v>573</v>
      </c>
      <c r="C703" s="15"/>
      <c r="D703" s="242"/>
      <c r="E703" s="15">
        <v>12</v>
      </c>
      <c r="F703" s="37">
        <v>700</v>
      </c>
      <c r="G703" s="32">
        <f t="shared" si="213"/>
        <v>2.8000000000000003</v>
      </c>
      <c r="H703" s="28" t="s">
        <v>68</v>
      </c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15"/>
      <c r="T703" s="7" t="s">
        <v>493</v>
      </c>
      <c r="U703" s="308"/>
      <c r="V703" s="92"/>
      <c r="W703" s="13">
        <f>3045*rentFact</f>
        <v>3349.5000000000005</v>
      </c>
      <c r="X703" s="110">
        <f t="shared" si="210"/>
        <v>0</v>
      </c>
      <c r="Y703" s="110">
        <f t="shared" si="202"/>
        <v>0</v>
      </c>
      <c r="Z703" s="110">
        <f t="shared" si="203"/>
        <v>0</v>
      </c>
      <c r="AA703" s="110">
        <f t="shared" si="211"/>
        <v>0</v>
      </c>
      <c r="AB703" s="110">
        <f t="shared" si="231"/>
        <v>0</v>
      </c>
      <c r="AC703" s="386" t="s">
        <v>163</v>
      </c>
      <c r="AD703" s="386" t="s">
        <v>176</v>
      </c>
      <c r="AE703" s="386"/>
      <c r="AF703" s="386"/>
    </row>
    <row r="704" spans="1:32" hidden="1" x14ac:dyDescent="0.2">
      <c r="A704" s="14" t="str">
        <f t="shared" si="212"/>
        <v/>
      </c>
      <c r="B704" s="100" t="s">
        <v>572</v>
      </c>
      <c r="C704" s="15"/>
      <c r="D704" s="242"/>
      <c r="E704" s="15">
        <v>12</v>
      </c>
      <c r="F704" s="37">
        <v>700</v>
      </c>
      <c r="G704" s="32">
        <f t="shared" si="213"/>
        <v>2.8000000000000003</v>
      </c>
      <c r="H704" s="28" t="s">
        <v>68</v>
      </c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15"/>
      <c r="T704" s="7" t="s">
        <v>493</v>
      </c>
      <c r="U704" s="308"/>
      <c r="V704" s="92"/>
      <c r="W704" s="13">
        <f>4567.5*rentFact</f>
        <v>5024.25</v>
      </c>
      <c r="X704" s="110">
        <f t="shared" si="210"/>
        <v>0</v>
      </c>
      <c r="Y704" s="110">
        <f t="shared" si="202"/>
        <v>0</v>
      </c>
      <c r="Z704" s="110">
        <f t="shared" si="203"/>
        <v>0</v>
      </c>
      <c r="AA704" s="110">
        <f t="shared" si="211"/>
        <v>0</v>
      </c>
      <c r="AB704" s="110">
        <f t="shared" si="231"/>
        <v>0</v>
      </c>
      <c r="AC704" s="386" t="s">
        <v>163</v>
      </c>
      <c r="AD704" s="386" t="s">
        <v>176</v>
      </c>
      <c r="AE704" s="386"/>
      <c r="AF704" s="386"/>
    </row>
    <row r="705" spans="1:32" hidden="1" x14ac:dyDescent="0.2">
      <c r="A705" s="14" t="str">
        <f t="shared" si="212"/>
        <v/>
      </c>
      <c r="B705" s="100" t="s">
        <v>549</v>
      </c>
      <c r="C705" s="15"/>
      <c r="D705" s="242"/>
      <c r="E705" s="15">
        <v>15</v>
      </c>
      <c r="F705" s="37">
        <v>1000</v>
      </c>
      <c r="G705" s="32">
        <f t="shared" si="213"/>
        <v>2.8000000000000003</v>
      </c>
      <c r="H705" s="28" t="s">
        <v>68</v>
      </c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15"/>
      <c r="T705" s="7" t="s">
        <v>493</v>
      </c>
      <c r="U705" s="308"/>
      <c r="V705" s="92"/>
      <c r="W705" s="13">
        <f>5582.5*rentFact</f>
        <v>6140.7500000000009</v>
      </c>
      <c r="X705" s="110">
        <f t="shared" si="210"/>
        <v>0</v>
      </c>
      <c r="Y705" s="110">
        <f t="shared" si="202"/>
        <v>0</v>
      </c>
      <c r="Z705" s="110">
        <f t="shared" si="203"/>
        <v>0</v>
      </c>
      <c r="AA705" s="110">
        <f t="shared" si="211"/>
        <v>0</v>
      </c>
      <c r="AB705" s="110">
        <f t="shared" si="231"/>
        <v>0</v>
      </c>
      <c r="AC705" s="386" t="s">
        <v>163</v>
      </c>
      <c r="AD705" s="386" t="s">
        <v>176</v>
      </c>
      <c r="AE705" s="386"/>
      <c r="AF705" s="386"/>
    </row>
    <row r="706" spans="1:32" hidden="1" x14ac:dyDescent="0.2">
      <c r="A706" s="14" t="str">
        <f t="shared" si="212"/>
        <v/>
      </c>
      <c r="B706" s="100" t="s">
        <v>550</v>
      </c>
      <c r="C706" s="15"/>
      <c r="D706" s="242"/>
      <c r="E706" s="15">
        <v>25</v>
      </c>
      <c r="F706" s="37">
        <v>1600</v>
      </c>
      <c r="G706" s="32">
        <f t="shared" si="213"/>
        <v>2.8000000000000003</v>
      </c>
      <c r="H706" s="28" t="s">
        <v>68</v>
      </c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15"/>
      <c r="T706" s="7" t="s">
        <v>493</v>
      </c>
      <c r="U706" s="308"/>
      <c r="V706" s="92"/>
      <c r="W706" s="13">
        <f>11500*1.015*rentFact</f>
        <v>12839.749999999998</v>
      </c>
      <c r="X706" s="110">
        <f t="shared" si="210"/>
        <v>0</v>
      </c>
      <c r="Y706" s="110">
        <f t="shared" si="202"/>
        <v>0</v>
      </c>
      <c r="Z706" s="110">
        <f t="shared" si="203"/>
        <v>0</v>
      </c>
      <c r="AA706" s="110">
        <f t="shared" si="211"/>
        <v>0</v>
      </c>
      <c r="AB706" s="110">
        <f t="shared" si="231"/>
        <v>0</v>
      </c>
      <c r="AC706" s="386" t="s">
        <v>163</v>
      </c>
      <c r="AD706" s="386" t="s">
        <v>176</v>
      </c>
      <c r="AE706" s="386"/>
      <c r="AF706" s="386"/>
    </row>
    <row r="707" spans="1:32" hidden="1" x14ac:dyDescent="0.2">
      <c r="A707" s="14" t="str">
        <f t="shared" si="212"/>
        <v/>
      </c>
      <c r="B707" s="100" t="s">
        <v>551</v>
      </c>
      <c r="C707" s="15"/>
      <c r="D707" s="242"/>
      <c r="E707" s="15">
        <v>27</v>
      </c>
      <c r="F707" s="37">
        <v>2000</v>
      </c>
      <c r="G707" s="32">
        <f t="shared" si="213"/>
        <v>2.8000000000000003</v>
      </c>
      <c r="H707" s="28" t="s">
        <v>68</v>
      </c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15"/>
      <c r="T707" s="7" t="s">
        <v>493</v>
      </c>
      <c r="U707" s="308"/>
      <c r="V707" s="92"/>
      <c r="W707" s="13">
        <f>13195*rentFact</f>
        <v>14514.500000000002</v>
      </c>
      <c r="X707" s="110">
        <f t="shared" si="210"/>
        <v>0</v>
      </c>
      <c r="Y707" s="110">
        <f t="shared" si="202"/>
        <v>0</v>
      </c>
      <c r="Z707" s="110">
        <f t="shared" si="203"/>
        <v>0</v>
      </c>
      <c r="AA707" s="110">
        <f t="shared" si="211"/>
        <v>0</v>
      </c>
      <c r="AB707" s="110">
        <f t="shared" si="231"/>
        <v>0</v>
      </c>
      <c r="AC707" s="386" t="s">
        <v>163</v>
      </c>
      <c r="AD707" s="386" t="s">
        <v>176</v>
      </c>
      <c r="AE707" s="386"/>
      <c r="AF707" s="386"/>
    </row>
    <row r="708" spans="1:32" hidden="1" x14ac:dyDescent="0.2">
      <c r="A708" s="14" t="str">
        <f t="shared" si="212"/>
        <v/>
      </c>
      <c r="B708" s="100" t="s">
        <v>552</v>
      </c>
      <c r="C708" s="15"/>
      <c r="D708" s="242"/>
      <c r="E708" s="15">
        <v>30</v>
      </c>
      <c r="F708" s="37">
        <v>3000</v>
      </c>
      <c r="G708" s="32">
        <f t="shared" si="213"/>
        <v>2.8000000000000003</v>
      </c>
      <c r="H708" s="28" t="s">
        <v>68</v>
      </c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15"/>
      <c r="T708" s="7" t="s">
        <v>493</v>
      </c>
      <c r="U708" s="308"/>
      <c r="V708" s="92"/>
      <c r="W708" s="13">
        <f>15225*rentFact</f>
        <v>16747.5</v>
      </c>
      <c r="X708" s="110">
        <f t="shared" si="210"/>
        <v>0</v>
      </c>
      <c r="Y708" s="110">
        <f t="shared" si="202"/>
        <v>0</v>
      </c>
      <c r="Z708" s="110">
        <f t="shared" si="203"/>
        <v>0</v>
      </c>
      <c r="AA708" s="110">
        <f t="shared" si="211"/>
        <v>0</v>
      </c>
      <c r="AB708" s="110">
        <f t="shared" si="231"/>
        <v>0</v>
      </c>
      <c r="AC708" s="386" t="s">
        <v>163</v>
      </c>
      <c r="AD708" s="386" t="s">
        <v>176</v>
      </c>
      <c r="AE708" s="386"/>
      <c r="AF708" s="386"/>
    </row>
    <row r="709" spans="1:32" hidden="1" x14ac:dyDescent="0.2">
      <c r="A709" s="14" t="str">
        <f t="shared" si="212"/>
        <v/>
      </c>
      <c r="B709" s="100" t="s">
        <v>553</v>
      </c>
      <c r="C709" s="15"/>
      <c r="D709" s="242"/>
      <c r="E709" s="15">
        <v>30</v>
      </c>
      <c r="F709" s="37">
        <v>3000</v>
      </c>
      <c r="G709" s="32">
        <f t="shared" si="213"/>
        <v>2.8000000000000003</v>
      </c>
      <c r="H709" s="28" t="s">
        <v>68</v>
      </c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15"/>
      <c r="T709" s="7" t="s">
        <v>493</v>
      </c>
      <c r="U709" s="308"/>
      <c r="V709" s="92"/>
      <c r="W709" s="13">
        <f>16747.5*rentFact</f>
        <v>18422.25</v>
      </c>
      <c r="X709" s="110">
        <f t="shared" si="210"/>
        <v>0</v>
      </c>
      <c r="Y709" s="110">
        <f t="shared" si="202"/>
        <v>0</v>
      </c>
      <c r="Z709" s="110">
        <f t="shared" si="203"/>
        <v>0</v>
      </c>
      <c r="AA709" s="110">
        <f t="shared" si="211"/>
        <v>0</v>
      </c>
      <c r="AB709" s="110">
        <f t="shared" si="231"/>
        <v>0</v>
      </c>
      <c r="AC709" s="386" t="s">
        <v>163</v>
      </c>
      <c r="AD709" s="386" t="s">
        <v>176</v>
      </c>
      <c r="AE709" s="386"/>
      <c r="AF709" s="386"/>
    </row>
    <row r="710" spans="1:32" hidden="1" x14ac:dyDescent="0.2">
      <c r="A710" s="14" t="str">
        <f t="shared" si="212"/>
        <v/>
      </c>
      <c r="B710" s="100" t="s">
        <v>554</v>
      </c>
      <c r="C710" s="15"/>
      <c r="D710" s="242"/>
      <c r="E710" s="15">
        <v>16</v>
      </c>
      <c r="F710" s="37">
        <v>1000</v>
      </c>
      <c r="G710" s="32">
        <f t="shared" si="213"/>
        <v>2.8000000000000003</v>
      </c>
      <c r="H710" s="28" t="s">
        <v>68</v>
      </c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15"/>
      <c r="T710" s="7" t="s">
        <v>493</v>
      </c>
      <c r="U710" s="308"/>
      <c r="V710" s="92"/>
      <c r="W710" s="13">
        <f>6597.5*rentFact</f>
        <v>7257.2500000000009</v>
      </c>
      <c r="X710" s="110">
        <f t="shared" si="210"/>
        <v>0</v>
      </c>
      <c r="Y710" s="110">
        <f t="shared" si="202"/>
        <v>0</v>
      </c>
      <c r="Z710" s="110">
        <f t="shared" si="203"/>
        <v>0</v>
      </c>
      <c r="AA710" s="110">
        <f t="shared" si="211"/>
        <v>0</v>
      </c>
      <c r="AB710" s="110">
        <f t="shared" si="231"/>
        <v>0</v>
      </c>
      <c r="AC710" s="386" t="s">
        <v>163</v>
      </c>
      <c r="AD710" s="386" t="s">
        <v>176</v>
      </c>
      <c r="AE710" s="386"/>
      <c r="AF710" s="386"/>
    </row>
    <row r="711" spans="1:32" hidden="1" x14ac:dyDescent="0.2">
      <c r="A711" s="14" t="str">
        <f t="shared" si="212"/>
        <v/>
      </c>
      <c r="B711" s="100" t="s">
        <v>555</v>
      </c>
      <c r="C711" s="15"/>
      <c r="D711" s="242"/>
      <c r="E711" s="15">
        <v>19</v>
      </c>
      <c r="F711" s="37">
        <v>1000</v>
      </c>
      <c r="G711" s="32">
        <f t="shared" si="213"/>
        <v>2.8000000000000003</v>
      </c>
      <c r="H711" s="28" t="s">
        <v>68</v>
      </c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15"/>
      <c r="T711" s="7" t="s">
        <v>493</v>
      </c>
      <c r="U711" s="308"/>
      <c r="V711" s="92"/>
      <c r="W711" s="13">
        <f>8627.5*rentFact</f>
        <v>9490.25</v>
      </c>
      <c r="X711" s="110">
        <f t="shared" si="210"/>
        <v>0</v>
      </c>
      <c r="Y711" s="110">
        <f t="shared" ref="Y711:Y731" si="232">IF(H711="M",S711*W711,0)</f>
        <v>0</v>
      </c>
      <c r="Z711" s="110">
        <f t="shared" ref="Z711:Z731" si="233">IF(H711="S",S711*W711,0)</f>
        <v>0</v>
      </c>
      <c r="AA711" s="110">
        <f t="shared" si="211"/>
        <v>0</v>
      </c>
      <c r="AB711" s="110">
        <f t="shared" si="231"/>
        <v>0</v>
      </c>
      <c r="AC711" s="386" t="s">
        <v>163</v>
      </c>
      <c r="AD711" s="386" t="s">
        <v>176</v>
      </c>
      <c r="AE711" s="386"/>
      <c r="AF711" s="386"/>
    </row>
    <row r="712" spans="1:32" hidden="1" x14ac:dyDescent="0.2">
      <c r="A712" s="14" t="str">
        <f t="shared" si="212"/>
        <v/>
      </c>
      <c r="B712" s="100" t="s">
        <v>556</v>
      </c>
      <c r="C712" s="15"/>
      <c r="D712" s="242"/>
      <c r="E712" s="15">
        <v>25</v>
      </c>
      <c r="F712" s="37">
        <v>2000</v>
      </c>
      <c r="G712" s="32">
        <f t="shared" si="213"/>
        <v>2.8000000000000003</v>
      </c>
      <c r="H712" s="28" t="s">
        <v>68</v>
      </c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15"/>
      <c r="T712" s="7" t="s">
        <v>493</v>
      </c>
      <c r="U712" s="308"/>
      <c r="V712" s="92"/>
      <c r="W712" s="13">
        <f>13195*rentFact</f>
        <v>14514.500000000002</v>
      </c>
      <c r="X712" s="110">
        <f t="shared" si="210"/>
        <v>0</v>
      </c>
      <c r="Y712" s="110">
        <f t="shared" si="232"/>
        <v>0</v>
      </c>
      <c r="Z712" s="110">
        <f t="shared" si="233"/>
        <v>0</v>
      </c>
      <c r="AA712" s="110">
        <f t="shared" si="211"/>
        <v>0</v>
      </c>
      <c r="AB712" s="110">
        <f t="shared" si="231"/>
        <v>0</v>
      </c>
      <c r="AC712" s="386" t="s">
        <v>163</v>
      </c>
      <c r="AD712" s="386" t="s">
        <v>176</v>
      </c>
      <c r="AE712" s="386"/>
      <c r="AF712" s="386"/>
    </row>
    <row r="713" spans="1:32" hidden="1" x14ac:dyDescent="0.2">
      <c r="A713" s="14" t="str">
        <f t="shared" si="212"/>
        <v/>
      </c>
      <c r="B713" s="100" t="s">
        <v>557</v>
      </c>
      <c r="C713" s="15"/>
      <c r="D713" s="242"/>
      <c r="E713" s="15">
        <v>30</v>
      </c>
      <c r="F713" s="37">
        <v>3000</v>
      </c>
      <c r="G713" s="32">
        <f t="shared" si="213"/>
        <v>2.8000000000000003</v>
      </c>
      <c r="H713" s="28" t="s">
        <v>68</v>
      </c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15"/>
      <c r="T713" s="7" t="s">
        <v>493</v>
      </c>
      <c r="U713" s="308"/>
      <c r="V713" s="92"/>
      <c r="W713" s="13">
        <f>16747.5*rentFact</f>
        <v>18422.25</v>
      </c>
      <c r="X713" s="110">
        <f t="shared" si="210"/>
        <v>0</v>
      </c>
      <c r="Y713" s="110">
        <f t="shared" si="232"/>
        <v>0</v>
      </c>
      <c r="Z713" s="110">
        <f t="shared" si="233"/>
        <v>0</v>
      </c>
      <c r="AA713" s="110">
        <f t="shared" si="211"/>
        <v>0</v>
      </c>
      <c r="AB713" s="110">
        <f t="shared" si="231"/>
        <v>0</v>
      </c>
      <c r="AC713" s="386" t="s">
        <v>163</v>
      </c>
      <c r="AD713" s="386" t="s">
        <v>176</v>
      </c>
      <c r="AE713" s="386"/>
      <c r="AF713" s="386"/>
    </row>
    <row r="714" spans="1:32" hidden="1" x14ac:dyDescent="0.2">
      <c r="A714" s="14" t="str">
        <f t="shared" si="212"/>
        <v/>
      </c>
      <c r="B714" s="100" t="s">
        <v>558</v>
      </c>
      <c r="C714" s="15"/>
      <c r="D714" s="242"/>
      <c r="E714" s="15">
        <v>40</v>
      </c>
      <c r="F714" s="37">
        <v>6000</v>
      </c>
      <c r="G714" s="32">
        <f t="shared" si="213"/>
        <v>2.8000000000000003</v>
      </c>
      <c r="H714" s="28" t="s">
        <v>68</v>
      </c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15"/>
      <c r="T714" s="7" t="s">
        <v>493</v>
      </c>
      <c r="U714" s="308"/>
      <c r="V714" s="92"/>
      <c r="W714" s="13">
        <f>27405*rentFact</f>
        <v>30145.500000000004</v>
      </c>
      <c r="X714" s="110">
        <f t="shared" si="210"/>
        <v>0</v>
      </c>
      <c r="Y714" s="110">
        <f t="shared" si="232"/>
        <v>0</v>
      </c>
      <c r="Z714" s="110">
        <f t="shared" si="233"/>
        <v>0</v>
      </c>
      <c r="AA714" s="110">
        <f t="shared" si="211"/>
        <v>0</v>
      </c>
      <c r="AB714" s="110">
        <f t="shared" si="231"/>
        <v>0</v>
      </c>
      <c r="AC714" s="386" t="s">
        <v>163</v>
      </c>
      <c r="AD714" s="386" t="s">
        <v>176</v>
      </c>
      <c r="AE714" s="386"/>
      <c r="AF714" s="386"/>
    </row>
    <row r="715" spans="1:32" hidden="1" x14ac:dyDescent="0.2">
      <c r="A715" s="14" t="str">
        <f t="shared" si="212"/>
        <v/>
      </c>
      <c r="B715" s="100" t="s">
        <v>566</v>
      </c>
      <c r="C715" s="15"/>
      <c r="D715" s="242"/>
      <c r="E715" s="15">
        <v>40</v>
      </c>
      <c r="F715" s="37">
        <v>13000</v>
      </c>
      <c r="G715" s="32">
        <f t="shared" si="213"/>
        <v>2.8000000000000003</v>
      </c>
      <c r="H715" s="28" t="s">
        <v>68</v>
      </c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15"/>
      <c r="T715" s="7" t="s">
        <v>493</v>
      </c>
      <c r="U715" s="308"/>
      <c r="V715" s="92"/>
      <c r="W715" s="13">
        <f>17255*rentFact</f>
        <v>18980.5</v>
      </c>
      <c r="X715" s="110">
        <f t="shared" ref="X715:X731" si="234">IF(H715="L",V715*W715,0)</f>
        <v>0</v>
      </c>
      <c r="Y715" s="110">
        <f t="shared" si="232"/>
        <v>0</v>
      </c>
      <c r="Z715" s="110">
        <f t="shared" si="233"/>
        <v>0</v>
      </c>
      <c r="AA715" s="110">
        <f t="shared" si="211"/>
        <v>0</v>
      </c>
      <c r="AB715" s="110">
        <f t="shared" si="231"/>
        <v>0</v>
      </c>
      <c r="AC715" s="386" t="s">
        <v>163</v>
      </c>
      <c r="AD715" s="386" t="s">
        <v>176</v>
      </c>
      <c r="AE715" s="386"/>
      <c r="AF715" s="386"/>
    </row>
    <row r="716" spans="1:32" hidden="1" x14ac:dyDescent="0.2">
      <c r="A716" s="14" t="str">
        <f t="shared" si="212"/>
        <v/>
      </c>
      <c r="B716" s="100" t="s">
        <v>567</v>
      </c>
      <c r="C716" s="15"/>
      <c r="D716" s="242"/>
      <c r="E716" s="15">
        <v>50</v>
      </c>
      <c r="F716" s="37">
        <v>13000</v>
      </c>
      <c r="G716" s="32">
        <f t="shared" si="213"/>
        <v>2.8000000000000003</v>
      </c>
      <c r="H716" s="28" t="s">
        <v>68</v>
      </c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15"/>
      <c r="T716" s="7" t="s">
        <v>493</v>
      </c>
      <c r="U716" s="308"/>
      <c r="V716" s="92"/>
      <c r="W716" s="13">
        <f>24360*rentFact</f>
        <v>26796.000000000004</v>
      </c>
      <c r="X716" s="110">
        <f t="shared" si="234"/>
        <v>0</v>
      </c>
      <c r="Y716" s="110">
        <f t="shared" si="232"/>
        <v>0</v>
      </c>
      <c r="Z716" s="110">
        <f t="shared" si="233"/>
        <v>0</v>
      </c>
      <c r="AA716" s="110">
        <f t="shared" si="211"/>
        <v>0</v>
      </c>
      <c r="AB716" s="110">
        <f t="shared" si="231"/>
        <v>0</v>
      </c>
      <c r="AC716" s="386" t="s">
        <v>163</v>
      </c>
      <c r="AD716" s="386" t="s">
        <v>176</v>
      </c>
      <c r="AE716" s="386"/>
      <c r="AF716" s="386"/>
    </row>
    <row r="717" spans="1:32" hidden="1" x14ac:dyDescent="0.2">
      <c r="A717" s="14" t="str">
        <f t="shared" si="212"/>
        <v/>
      </c>
      <c r="B717" s="100" t="s">
        <v>559</v>
      </c>
      <c r="C717" s="15"/>
      <c r="D717" s="242"/>
      <c r="E717" s="15">
        <v>38</v>
      </c>
      <c r="F717" s="37">
        <v>11000</v>
      </c>
      <c r="G717" s="32">
        <f t="shared" si="213"/>
        <v>2.8000000000000003</v>
      </c>
      <c r="H717" s="28" t="s">
        <v>68</v>
      </c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15"/>
      <c r="T717" s="7" t="s">
        <v>493</v>
      </c>
      <c r="U717" s="308"/>
      <c r="V717" s="92"/>
      <c r="W717" s="13">
        <f>14210*rentFact</f>
        <v>15631.000000000002</v>
      </c>
      <c r="X717" s="110">
        <f t="shared" si="234"/>
        <v>0</v>
      </c>
      <c r="Y717" s="110">
        <f t="shared" si="232"/>
        <v>0</v>
      </c>
      <c r="Z717" s="110">
        <f t="shared" si="233"/>
        <v>0</v>
      </c>
      <c r="AA717" s="110">
        <f t="shared" si="211"/>
        <v>0</v>
      </c>
      <c r="AB717" s="110">
        <f t="shared" si="231"/>
        <v>0</v>
      </c>
      <c r="AC717" s="386" t="s">
        <v>163</v>
      </c>
      <c r="AD717" s="386" t="s">
        <v>176</v>
      </c>
      <c r="AE717" s="386"/>
      <c r="AF717" s="386"/>
    </row>
    <row r="718" spans="1:32" hidden="1" x14ac:dyDescent="0.2">
      <c r="A718" s="14" t="str">
        <f t="shared" si="212"/>
        <v/>
      </c>
      <c r="B718" s="100" t="s">
        <v>560</v>
      </c>
      <c r="C718" s="15"/>
      <c r="D718" s="242"/>
      <c r="E718" s="15">
        <v>40</v>
      </c>
      <c r="F718" s="37">
        <v>13000</v>
      </c>
      <c r="G718" s="32">
        <f t="shared" si="213"/>
        <v>2.8000000000000003</v>
      </c>
      <c r="H718" s="28" t="s">
        <v>68</v>
      </c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15"/>
      <c r="T718" s="7" t="s">
        <v>493</v>
      </c>
      <c r="U718" s="308"/>
      <c r="V718" s="92"/>
      <c r="W718" s="13">
        <f>17255*rentFact</f>
        <v>18980.5</v>
      </c>
      <c r="X718" s="110">
        <f t="shared" si="234"/>
        <v>0</v>
      </c>
      <c r="Y718" s="110">
        <f t="shared" si="232"/>
        <v>0</v>
      </c>
      <c r="Z718" s="110">
        <f t="shared" si="233"/>
        <v>0</v>
      </c>
      <c r="AA718" s="110">
        <f t="shared" si="211"/>
        <v>0</v>
      </c>
      <c r="AB718" s="110">
        <f t="shared" si="231"/>
        <v>0</v>
      </c>
      <c r="AC718" s="386" t="s">
        <v>163</v>
      </c>
      <c r="AD718" s="386" t="s">
        <v>176</v>
      </c>
      <c r="AE718" s="386"/>
      <c r="AF718" s="386"/>
    </row>
    <row r="719" spans="1:32" hidden="1" x14ac:dyDescent="0.2">
      <c r="A719" s="14" t="str">
        <f t="shared" si="212"/>
        <v/>
      </c>
      <c r="B719" s="100" t="s">
        <v>561</v>
      </c>
      <c r="C719" s="15"/>
      <c r="D719" s="242"/>
      <c r="E719" s="15">
        <v>50</v>
      </c>
      <c r="F719" s="37">
        <v>15000</v>
      </c>
      <c r="G719" s="32">
        <f t="shared" si="213"/>
        <v>2.8000000000000003</v>
      </c>
      <c r="H719" s="28" t="s">
        <v>68</v>
      </c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15"/>
      <c r="T719" s="7" t="s">
        <v>493</v>
      </c>
      <c r="U719" s="308"/>
      <c r="V719" s="92"/>
      <c r="W719" s="13">
        <f>27405*rentFact</f>
        <v>30145.500000000004</v>
      </c>
      <c r="X719" s="110">
        <f t="shared" si="234"/>
        <v>0</v>
      </c>
      <c r="Y719" s="110">
        <f t="shared" si="232"/>
        <v>0</v>
      </c>
      <c r="Z719" s="110">
        <f t="shared" si="233"/>
        <v>0</v>
      </c>
      <c r="AA719" s="110">
        <f t="shared" si="211"/>
        <v>0</v>
      </c>
      <c r="AB719" s="110">
        <f t="shared" si="231"/>
        <v>0</v>
      </c>
      <c r="AC719" s="386" t="s">
        <v>163</v>
      </c>
      <c r="AD719" s="386" t="s">
        <v>176</v>
      </c>
      <c r="AE719" s="386"/>
      <c r="AF719" s="386"/>
    </row>
    <row r="720" spans="1:32" hidden="1" x14ac:dyDescent="0.2">
      <c r="A720" s="14" t="str">
        <f t="shared" si="212"/>
        <v/>
      </c>
      <c r="B720" s="100" t="s">
        <v>562</v>
      </c>
      <c r="C720" s="15"/>
      <c r="D720" s="242"/>
      <c r="E720" s="15">
        <v>60</v>
      </c>
      <c r="F720" s="37">
        <v>20000</v>
      </c>
      <c r="G720" s="32">
        <f t="shared" si="213"/>
        <v>2.8000000000000003</v>
      </c>
      <c r="H720" s="28" t="s">
        <v>68</v>
      </c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15"/>
      <c r="T720" s="7" t="s">
        <v>493</v>
      </c>
      <c r="U720" s="308"/>
      <c r="V720" s="92"/>
      <c r="W720" s="13">
        <f>34510*rentFact</f>
        <v>37961</v>
      </c>
      <c r="X720" s="110">
        <f t="shared" ref="X720:X723" si="235">IF(H720="L",V720*W720,0)</f>
        <v>0</v>
      </c>
      <c r="Y720" s="110">
        <f t="shared" ref="Y720:Y723" si="236">IF(H720="M",S720*W720,0)</f>
        <v>0</v>
      </c>
      <c r="Z720" s="110">
        <f t="shared" ref="Z720:Z723" si="237">IF(H720="S",S720*W720,0)</f>
        <v>0</v>
      </c>
      <c r="AA720" s="110">
        <f t="shared" ref="AA720:AA723" si="238">IF(H720="E",G720*S720*W720,0)</f>
        <v>0</v>
      </c>
      <c r="AB720" s="110">
        <f t="shared" ref="AB720:AB723" si="239">SUM(X720:AA720)</f>
        <v>0</v>
      </c>
      <c r="AC720" s="386" t="s">
        <v>163</v>
      </c>
      <c r="AD720" s="386" t="s">
        <v>176</v>
      </c>
      <c r="AE720" s="386"/>
      <c r="AF720" s="386"/>
    </row>
    <row r="721" spans="1:32" hidden="1" x14ac:dyDescent="0.2">
      <c r="A721" s="14" t="str">
        <f t="shared" si="212"/>
        <v/>
      </c>
      <c r="B721" s="100" t="s">
        <v>569</v>
      </c>
      <c r="C721" s="15"/>
      <c r="D721" s="242"/>
      <c r="E721" s="15">
        <v>0</v>
      </c>
      <c r="F721" s="37">
        <v>4000</v>
      </c>
      <c r="G721" s="32">
        <f t="shared" si="213"/>
        <v>2.8000000000000003</v>
      </c>
      <c r="H721" s="28" t="s">
        <v>68</v>
      </c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15"/>
      <c r="T721" s="7" t="s">
        <v>493</v>
      </c>
      <c r="U721" s="308"/>
      <c r="V721" s="92"/>
      <c r="W721" s="13">
        <f>5582.5*rentFact</f>
        <v>6140.7500000000009</v>
      </c>
      <c r="X721" s="110">
        <f t="shared" si="235"/>
        <v>0</v>
      </c>
      <c r="Y721" s="110">
        <f t="shared" si="236"/>
        <v>0</v>
      </c>
      <c r="Z721" s="110">
        <f t="shared" si="237"/>
        <v>0</v>
      </c>
      <c r="AA721" s="110">
        <f t="shared" si="238"/>
        <v>0</v>
      </c>
      <c r="AB721" s="110">
        <f t="shared" si="239"/>
        <v>0</v>
      </c>
      <c r="AC721" s="386" t="s">
        <v>163</v>
      </c>
      <c r="AD721" s="386" t="s">
        <v>176</v>
      </c>
      <c r="AE721" s="386"/>
      <c r="AF721" s="386"/>
    </row>
    <row r="722" spans="1:32" hidden="1" x14ac:dyDescent="0.2">
      <c r="A722" s="14" t="str">
        <f t="shared" si="212"/>
        <v/>
      </c>
      <c r="B722" s="100" t="s">
        <v>563</v>
      </c>
      <c r="C722" s="15"/>
      <c r="D722" s="242"/>
      <c r="E722" s="15">
        <v>60</v>
      </c>
      <c r="F722" s="37">
        <v>20000</v>
      </c>
      <c r="G722" s="32">
        <f t="shared" si="213"/>
        <v>2.8000000000000003</v>
      </c>
      <c r="H722" s="28" t="s">
        <v>68</v>
      </c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15"/>
      <c r="T722" s="7" t="s">
        <v>493</v>
      </c>
      <c r="U722" s="308"/>
      <c r="V722" s="92"/>
      <c r="W722" s="13">
        <f>34510*rentFact</f>
        <v>37961</v>
      </c>
      <c r="X722" s="110">
        <f t="shared" si="235"/>
        <v>0</v>
      </c>
      <c r="Y722" s="110">
        <f t="shared" si="236"/>
        <v>0</v>
      </c>
      <c r="Z722" s="110">
        <f t="shared" si="237"/>
        <v>0</v>
      </c>
      <c r="AA722" s="110">
        <f t="shared" si="238"/>
        <v>0</v>
      </c>
      <c r="AB722" s="110">
        <f t="shared" si="239"/>
        <v>0</v>
      </c>
      <c r="AC722" s="386" t="s">
        <v>163</v>
      </c>
      <c r="AD722" s="386" t="s">
        <v>176</v>
      </c>
      <c r="AE722" s="386"/>
      <c r="AF722" s="386"/>
    </row>
    <row r="723" spans="1:32" hidden="1" x14ac:dyDescent="0.2">
      <c r="A723" s="14" t="str">
        <f t="shared" si="212"/>
        <v/>
      </c>
      <c r="B723" s="100" t="s">
        <v>568</v>
      </c>
      <c r="C723" s="15"/>
      <c r="D723" s="242"/>
      <c r="E723" s="15">
        <v>0</v>
      </c>
      <c r="F723" s="37">
        <v>4000</v>
      </c>
      <c r="G723" s="32">
        <f t="shared" si="213"/>
        <v>2.8000000000000003</v>
      </c>
      <c r="H723" s="28" t="s">
        <v>68</v>
      </c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15"/>
      <c r="T723" s="7" t="s">
        <v>493</v>
      </c>
      <c r="U723" s="308"/>
      <c r="V723" s="92"/>
      <c r="W723" s="13">
        <f>5582.5*rentFact</f>
        <v>6140.7500000000009</v>
      </c>
      <c r="X723" s="110">
        <f t="shared" si="235"/>
        <v>0</v>
      </c>
      <c r="Y723" s="110">
        <f t="shared" si="236"/>
        <v>0</v>
      </c>
      <c r="Z723" s="110">
        <f t="shared" si="237"/>
        <v>0</v>
      </c>
      <c r="AA723" s="110">
        <f t="shared" si="238"/>
        <v>0</v>
      </c>
      <c r="AB723" s="110">
        <f t="shared" si="239"/>
        <v>0</v>
      </c>
      <c r="AC723" s="386" t="s">
        <v>163</v>
      </c>
      <c r="AD723" s="386" t="s">
        <v>176</v>
      </c>
      <c r="AE723" s="386"/>
      <c r="AF723" s="386"/>
    </row>
    <row r="724" spans="1:32" hidden="1" x14ac:dyDescent="0.2">
      <c r="A724" s="14" t="str">
        <f>+IF(AB724&lt;&gt;0,"X","")</f>
        <v/>
      </c>
      <c r="B724" s="69" t="s">
        <v>321</v>
      </c>
      <c r="C724" s="15"/>
      <c r="D724" s="242"/>
      <c r="E724" s="15">
        <v>0</v>
      </c>
      <c r="F724" s="37">
        <v>0</v>
      </c>
      <c r="G724" s="314">
        <v>1</v>
      </c>
      <c r="H724" s="28" t="s">
        <v>68</v>
      </c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15"/>
      <c r="T724" s="7" t="s">
        <v>493</v>
      </c>
      <c r="U724" s="308"/>
      <c r="V724" s="92"/>
      <c r="W724" s="87">
        <v>0.1</v>
      </c>
      <c r="X724" s="110">
        <f t="shared" si="234"/>
        <v>0</v>
      </c>
      <c r="Y724" s="110">
        <f t="shared" si="232"/>
        <v>0</v>
      </c>
      <c r="Z724" s="110">
        <f t="shared" si="233"/>
        <v>0</v>
      </c>
      <c r="AA724" s="110">
        <f t="shared" ref="AA724:AA731" si="240">IF(H724="E",G724*S724*W724,0)</f>
        <v>0</v>
      </c>
      <c r="AB724" s="110">
        <f t="shared" ref="AB724:AB730" si="241">SUM(X724:AA724)</f>
        <v>0</v>
      </c>
      <c r="AC724" s="386" t="s">
        <v>163</v>
      </c>
      <c r="AD724" s="386" t="s">
        <v>176</v>
      </c>
      <c r="AE724" s="386"/>
      <c r="AF724" s="386"/>
    </row>
    <row r="725" spans="1:32" hidden="1" x14ac:dyDescent="0.2">
      <c r="A725" s="14" t="str">
        <f t="shared" ref="A725" si="242">+IF(AB725&lt;&gt;0,"X","")</f>
        <v/>
      </c>
      <c r="B725" s="69" t="s">
        <v>322</v>
      </c>
      <c r="C725" s="15"/>
      <c r="D725" s="242"/>
      <c r="E725" s="15"/>
      <c r="F725" s="37">
        <v>200</v>
      </c>
      <c r="G725" s="32">
        <f t="shared" ref="G725:G740" si="243">sch_Mech_Mo</f>
        <v>2.8000000000000003</v>
      </c>
      <c r="H725" s="28" t="s">
        <v>68</v>
      </c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15"/>
      <c r="T725" s="7" t="s">
        <v>493</v>
      </c>
      <c r="U725" s="308"/>
      <c r="V725" s="92"/>
      <c r="W725" s="13">
        <f>1800*rentFact</f>
        <v>1980.0000000000002</v>
      </c>
      <c r="X725" s="110">
        <f t="shared" si="234"/>
        <v>0</v>
      </c>
      <c r="Y725" s="110">
        <f t="shared" si="232"/>
        <v>0</v>
      </c>
      <c r="Z725" s="110">
        <f t="shared" si="233"/>
        <v>0</v>
      </c>
      <c r="AA725" s="110">
        <f t="shared" si="240"/>
        <v>0</v>
      </c>
      <c r="AB725" s="110">
        <f t="shared" ref="AB725" si="244">SUM(X725:AA725)</f>
        <v>0</v>
      </c>
      <c r="AC725" s="386" t="s">
        <v>163</v>
      </c>
      <c r="AD725" s="386" t="s">
        <v>176</v>
      </c>
      <c r="AE725" s="386"/>
      <c r="AF725" s="386"/>
    </row>
    <row r="726" spans="1:32" hidden="1" x14ac:dyDescent="0.2">
      <c r="A726" s="14" t="str">
        <f t="shared" ref="A726:A775" si="245">+IF(AB726&lt;&gt;0,"X","")</f>
        <v/>
      </c>
      <c r="B726" s="69" t="s">
        <v>323</v>
      </c>
      <c r="C726" s="15"/>
      <c r="D726" s="242"/>
      <c r="E726" s="15" t="s">
        <v>13</v>
      </c>
      <c r="F726" s="37">
        <f>400*2</f>
        <v>800</v>
      </c>
      <c r="G726" s="32">
        <f t="shared" si="243"/>
        <v>2.8000000000000003</v>
      </c>
      <c r="H726" s="28" t="s">
        <v>68</v>
      </c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15"/>
      <c r="T726" s="7" t="s">
        <v>500</v>
      </c>
      <c r="U726" s="308"/>
      <c r="V726" s="92"/>
      <c r="W726" s="13">
        <f>(14*100)*rentFact</f>
        <v>1540.0000000000002</v>
      </c>
      <c r="X726" s="110">
        <f t="shared" si="234"/>
        <v>0</v>
      </c>
      <c r="Y726" s="110">
        <f t="shared" si="232"/>
        <v>0</v>
      </c>
      <c r="Z726" s="110">
        <f t="shared" si="233"/>
        <v>0</v>
      </c>
      <c r="AA726" s="110">
        <f t="shared" si="240"/>
        <v>0</v>
      </c>
      <c r="AB726" s="110">
        <f t="shared" si="241"/>
        <v>0</v>
      </c>
      <c r="AC726" s="386" t="s">
        <v>163</v>
      </c>
      <c r="AD726" s="386" t="s">
        <v>176</v>
      </c>
      <c r="AE726" s="386"/>
      <c r="AF726" s="386"/>
    </row>
    <row r="727" spans="1:32" hidden="1" x14ac:dyDescent="0.2">
      <c r="A727" s="14" t="str">
        <f t="shared" si="245"/>
        <v/>
      </c>
      <c r="B727" s="69" t="s">
        <v>324</v>
      </c>
      <c r="C727" s="15"/>
      <c r="D727" s="242"/>
      <c r="E727" s="15" t="s">
        <v>13</v>
      </c>
      <c r="F727" s="37">
        <f>400*2</f>
        <v>800</v>
      </c>
      <c r="G727" s="32">
        <f t="shared" si="243"/>
        <v>2.8000000000000003</v>
      </c>
      <c r="H727" s="28" t="s">
        <v>68</v>
      </c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15"/>
      <c r="T727" s="7" t="s">
        <v>500</v>
      </c>
      <c r="U727" s="308"/>
      <c r="V727" s="92"/>
      <c r="W727" s="13">
        <f>(14*100)*rentFact</f>
        <v>1540.0000000000002</v>
      </c>
      <c r="X727" s="110">
        <f t="shared" si="234"/>
        <v>0</v>
      </c>
      <c r="Y727" s="110">
        <f t="shared" si="232"/>
        <v>0</v>
      </c>
      <c r="Z727" s="110">
        <f t="shared" si="233"/>
        <v>0</v>
      </c>
      <c r="AA727" s="110">
        <f t="shared" si="240"/>
        <v>0</v>
      </c>
      <c r="AB727" s="110">
        <f t="shared" si="241"/>
        <v>0</v>
      </c>
      <c r="AC727" s="386" t="s">
        <v>163</v>
      </c>
      <c r="AD727" s="386" t="s">
        <v>176</v>
      </c>
      <c r="AE727" s="386"/>
      <c r="AF727" s="386"/>
    </row>
    <row r="728" spans="1:32" hidden="1" x14ac:dyDescent="0.2">
      <c r="A728" s="14" t="str">
        <f t="shared" si="245"/>
        <v/>
      </c>
      <c r="B728" s="69" t="s">
        <v>325</v>
      </c>
      <c r="C728" s="15"/>
      <c r="D728" s="242"/>
      <c r="E728" s="15">
        <v>15</v>
      </c>
      <c r="F728" s="37">
        <v>300</v>
      </c>
      <c r="G728" s="32">
        <f t="shared" si="243"/>
        <v>2.8000000000000003</v>
      </c>
      <c r="H728" s="28" t="s">
        <v>68</v>
      </c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15"/>
      <c r="T728" s="7" t="s">
        <v>493</v>
      </c>
      <c r="U728" s="308"/>
      <c r="V728" s="92"/>
      <c r="W728" s="13">
        <f>1800*rentFact</f>
        <v>1980.0000000000002</v>
      </c>
      <c r="X728" s="110">
        <f t="shared" si="234"/>
        <v>0</v>
      </c>
      <c r="Y728" s="110">
        <f t="shared" si="232"/>
        <v>0</v>
      </c>
      <c r="Z728" s="110">
        <f t="shared" si="233"/>
        <v>0</v>
      </c>
      <c r="AA728" s="110">
        <f t="shared" si="240"/>
        <v>0</v>
      </c>
      <c r="AB728" s="110">
        <f t="shared" si="241"/>
        <v>0</v>
      </c>
      <c r="AC728" s="386" t="s">
        <v>163</v>
      </c>
      <c r="AD728" s="386" t="s">
        <v>176</v>
      </c>
      <c r="AE728" s="386"/>
      <c r="AF728" s="386"/>
    </row>
    <row r="729" spans="1:32" hidden="1" x14ac:dyDescent="0.2">
      <c r="A729" s="14" t="str">
        <f t="shared" si="245"/>
        <v/>
      </c>
      <c r="B729" s="69" t="s">
        <v>326</v>
      </c>
      <c r="C729" s="15"/>
      <c r="D729" s="242"/>
      <c r="E729" s="15">
        <v>20</v>
      </c>
      <c r="F729" s="37">
        <v>600</v>
      </c>
      <c r="G729" s="32">
        <f t="shared" si="243"/>
        <v>2.8000000000000003</v>
      </c>
      <c r="H729" s="28" t="s">
        <v>68</v>
      </c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15"/>
      <c r="T729" s="7" t="s">
        <v>493</v>
      </c>
      <c r="U729" s="308"/>
      <c r="V729" s="92"/>
      <c r="W729" s="13">
        <f>1895*rentFact</f>
        <v>2084.5</v>
      </c>
      <c r="X729" s="110">
        <f t="shared" si="234"/>
        <v>0</v>
      </c>
      <c r="Y729" s="110">
        <f t="shared" si="232"/>
        <v>0</v>
      </c>
      <c r="Z729" s="110">
        <f t="shared" si="233"/>
        <v>0</v>
      </c>
      <c r="AA729" s="110">
        <f t="shared" si="240"/>
        <v>0</v>
      </c>
      <c r="AB729" s="110">
        <f t="shared" si="241"/>
        <v>0</v>
      </c>
      <c r="AC729" s="386" t="s">
        <v>163</v>
      </c>
      <c r="AD729" s="386" t="s">
        <v>176</v>
      </c>
      <c r="AE729" s="386"/>
      <c r="AF729" s="386"/>
    </row>
    <row r="730" spans="1:32" hidden="1" x14ac:dyDescent="0.2">
      <c r="A730" s="14" t="str">
        <f t="shared" si="245"/>
        <v/>
      </c>
      <c r="B730" s="69" t="s">
        <v>327</v>
      </c>
      <c r="C730" s="15"/>
      <c r="D730" s="242"/>
      <c r="E730" s="15" t="s">
        <v>13</v>
      </c>
      <c r="F730" s="37">
        <v>600</v>
      </c>
      <c r="G730" s="32">
        <f t="shared" si="243"/>
        <v>2.8000000000000003</v>
      </c>
      <c r="H730" s="28" t="s">
        <v>68</v>
      </c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15"/>
      <c r="T730" s="7" t="s">
        <v>493</v>
      </c>
      <c r="U730" s="308"/>
      <c r="V730" s="92"/>
      <c r="W730" s="13">
        <f>1450*rentFact</f>
        <v>1595.0000000000002</v>
      </c>
      <c r="X730" s="110">
        <f t="shared" si="234"/>
        <v>0</v>
      </c>
      <c r="Y730" s="110">
        <f t="shared" si="232"/>
        <v>0</v>
      </c>
      <c r="Z730" s="110">
        <f t="shared" si="233"/>
        <v>0</v>
      </c>
      <c r="AA730" s="110">
        <f t="shared" si="240"/>
        <v>0</v>
      </c>
      <c r="AB730" s="110">
        <f t="shared" si="241"/>
        <v>0</v>
      </c>
      <c r="AC730" s="386" t="s">
        <v>163</v>
      </c>
      <c r="AD730" s="386" t="s">
        <v>176</v>
      </c>
      <c r="AE730" s="386"/>
      <c r="AF730" s="386"/>
    </row>
    <row r="731" spans="1:32" hidden="1" x14ac:dyDescent="0.2">
      <c r="A731" s="14" t="str">
        <f t="shared" si="245"/>
        <v/>
      </c>
      <c r="B731" s="69" t="s">
        <v>328</v>
      </c>
      <c r="C731" s="15"/>
      <c r="D731" s="242"/>
      <c r="E731" s="15" t="s">
        <v>13</v>
      </c>
      <c r="F731" s="37">
        <v>300</v>
      </c>
      <c r="G731" s="32">
        <f t="shared" si="243"/>
        <v>2.8000000000000003</v>
      </c>
      <c r="H731" s="28" t="s">
        <v>68</v>
      </c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15"/>
      <c r="T731" s="7" t="s">
        <v>493</v>
      </c>
      <c r="U731" s="308"/>
      <c r="V731" s="92"/>
      <c r="W731" s="13">
        <f>495*rentFact</f>
        <v>544.5</v>
      </c>
      <c r="X731" s="110">
        <f t="shared" si="234"/>
        <v>0</v>
      </c>
      <c r="Y731" s="110">
        <f t="shared" si="232"/>
        <v>0</v>
      </c>
      <c r="Z731" s="110">
        <f t="shared" si="233"/>
        <v>0</v>
      </c>
      <c r="AA731" s="110">
        <f t="shared" si="240"/>
        <v>0</v>
      </c>
      <c r="AB731" s="110">
        <f t="shared" ref="AB731:AB775" si="246">SUM(X731:AA731)</f>
        <v>0</v>
      </c>
      <c r="AC731" s="386" t="s">
        <v>163</v>
      </c>
      <c r="AD731" s="386" t="s">
        <v>176</v>
      </c>
      <c r="AE731" s="386"/>
      <c r="AF731" s="386"/>
    </row>
    <row r="732" spans="1:32" hidden="1" x14ac:dyDescent="0.2">
      <c r="A732" s="14" t="str">
        <f t="shared" si="245"/>
        <v/>
      </c>
      <c r="B732" s="69" t="s">
        <v>329</v>
      </c>
      <c r="C732" s="15"/>
      <c r="D732" s="242"/>
      <c r="E732" s="15" t="s">
        <v>13</v>
      </c>
      <c r="F732" s="37">
        <v>300</v>
      </c>
      <c r="G732" s="32">
        <f t="shared" si="243"/>
        <v>2.8000000000000003</v>
      </c>
      <c r="H732" s="28" t="s">
        <v>68</v>
      </c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15"/>
      <c r="T732" s="7" t="s">
        <v>493</v>
      </c>
      <c r="U732" s="308"/>
      <c r="V732" s="92"/>
      <c r="W732" s="13">
        <f>595*rentFact</f>
        <v>654.5</v>
      </c>
      <c r="X732" s="110">
        <f t="shared" ref="X732" si="247">IF(H732="L",V732*W732,0)</f>
        <v>0</v>
      </c>
      <c r="Y732" s="110">
        <f t="shared" ref="Y732" si="248">IF(H732="M",S732*W732,0)</f>
        <v>0</v>
      </c>
      <c r="Z732" s="110">
        <f t="shared" ref="Z732" si="249">IF(H732="S",S732*W732,0)</f>
        <v>0</v>
      </c>
      <c r="AA732" s="110">
        <f t="shared" ref="AA732" si="250">IF(H732="E",G732*S732*W732,0)</f>
        <v>0</v>
      </c>
      <c r="AB732" s="110">
        <f t="shared" ref="AB732" si="251">SUM(X732:AA732)</f>
        <v>0</v>
      </c>
      <c r="AC732" s="386" t="s">
        <v>163</v>
      </c>
      <c r="AD732" s="386" t="s">
        <v>176</v>
      </c>
      <c r="AE732" s="386"/>
      <c r="AF732" s="386"/>
    </row>
    <row r="733" spans="1:32" hidden="1" x14ac:dyDescent="0.2">
      <c r="A733" s="14" t="str">
        <f t="shared" si="245"/>
        <v/>
      </c>
      <c r="B733" s="69" t="s">
        <v>330</v>
      </c>
      <c r="C733" s="15"/>
      <c r="D733" s="242"/>
      <c r="E733" s="15" t="s">
        <v>13</v>
      </c>
      <c r="F733" s="37">
        <v>300</v>
      </c>
      <c r="G733" s="32">
        <f t="shared" si="243"/>
        <v>2.8000000000000003</v>
      </c>
      <c r="H733" s="28" t="s">
        <v>68</v>
      </c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15"/>
      <c r="T733" s="7" t="s">
        <v>493</v>
      </c>
      <c r="U733" s="308"/>
      <c r="V733" s="92"/>
      <c r="W733" s="13">
        <f>1000*rentFact</f>
        <v>1100</v>
      </c>
      <c r="X733" s="110">
        <f t="shared" ref="X733:X754" si="252">IF(H733="L",V733*W733,0)</f>
        <v>0</v>
      </c>
      <c r="Y733" s="110">
        <f t="shared" ref="Y733:Y754" si="253">IF(H733="M",S733*W733,0)</f>
        <v>0</v>
      </c>
      <c r="Z733" s="110">
        <f t="shared" ref="Z733:Z754" si="254">IF(H733="S",S733*W733,0)</f>
        <v>0</v>
      </c>
      <c r="AA733" s="110">
        <f t="shared" ref="AA733:AA754" si="255">IF(H733="E",G733*S733*W733,0)</f>
        <v>0</v>
      </c>
      <c r="AB733" s="110">
        <f t="shared" si="246"/>
        <v>0</v>
      </c>
      <c r="AC733" s="386" t="s">
        <v>163</v>
      </c>
      <c r="AD733" s="386" t="s">
        <v>176</v>
      </c>
      <c r="AE733" s="386"/>
      <c r="AF733" s="386"/>
    </row>
    <row r="734" spans="1:32" hidden="1" x14ac:dyDescent="0.2">
      <c r="A734" s="14" t="str">
        <f t="shared" si="245"/>
        <v/>
      </c>
      <c r="B734" s="69" t="s">
        <v>331</v>
      </c>
      <c r="C734" s="15"/>
      <c r="D734" s="242"/>
      <c r="E734" s="15">
        <v>8</v>
      </c>
      <c r="F734" s="37">
        <v>300</v>
      </c>
      <c r="G734" s="32">
        <f t="shared" si="243"/>
        <v>2.8000000000000003</v>
      </c>
      <c r="H734" s="28" t="s">
        <v>68</v>
      </c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15"/>
      <c r="T734" s="7" t="s">
        <v>493</v>
      </c>
      <c r="U734" s="308"/>
      <c r="V734" s="92"/>
      <c r="W734" s="13">
        <f>1595*rentFact</f>
        <v>1754.5000000000002</v>
      </c>
      <c r="X734" s="110">
        <f t="shared" si="252"/>
        <v>0</v>
      </c>
      <c r="Y734" s="110">
        <f t="shared" si="253"/>
        <v>0</v>
      </c>
      <c r="Z734" s="110">
        <f t="shared" si="254"/>
        <v>0</v>
      </c>
      <c r="AA734" s="110">
        <f t="shared" si="255"/>
        <v>0</v>
      </c>
      <c r="AB734" s="110">
        <f t="shared" si="246"/>
        <v>0</v>
      </c>
      <c r="AC734" s="386" t="s">
        <v>163</v>
      </c>
      <c r="AD734" s="386" t="s">
        <v>176</v>
      </c>
      <c r="AE734" s="386"/>
      <c r="AF734" s="386"/>
    </row>
    <row r="735" spans="1:32" hidden="1" x14ac:dyDescent="0.2">
      <c r="A735" s="14" t="str">
        <f t="shared" si="245"/>
        <v/>
      </c>
      <c r="B735" s="69" t="s">
        <v>332</v>
      </c>
      <c r="C735" s="15"/>
      <c r="D735" s="242"/>
      <c r="E735" s="15">
        <v>9</v>
      </c>
      <c r="F735" s="37">
        <v>400</v>
      </c>
      <c r="G735" s="32">
        <f t="shared" si="243"/>
        <v>2.8000000000000003</v>
      </c>
      <c r="H735" s="28" t="s">
        <v>68</v>
      </c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15"/>
      <c r="T735" s="7" t="s">
        <v>493</v>
      </c>
      <c r="U735" s="308"/>
      <c r="V735" s="92"/>
      <c r="W735" s="13">
        <f>2250*rentFact</f>
        <v>2475</v>
      </c>
      <c r="X735" s="110">
        <f t="shared" si="252"/>
        <v>0</v>
      </c>
      <c r="Y735" s="110">
        <f t="shared" si="253"/>
        <v>0</v>
      </c>
      <c r="Z735" s="110">
        <f t="shared" si="254"/>
        <v>0</v>
      </c>
      <c r="AA735" s="110">
        <f t="shared" si="255"/>
        <v>0</v>
      </c>
      <c r="AB735" s="110">
        <f>SUM(X735:AA735)</f>
        <v>0</v>
      </c>
      <c r="AC735" s="386" t="s">
        <v>163</v>
      </c>
      <c r="AD735" s="386" t="s">
        <v>176</v>
      </c>
      <c r="AE735" s="386"/>
      <c r="AF735" s="386"/>
    </row>
    <row r="736" spans="1:32" hidden="1" x14ac:dyDescent="0.2">
      <c r="A736" s="14" t="str">
        <f t="shared" si="245"/>
        <v/>
      </c>
      <c r="B736" s="69" t="s">
        <v>333</v>
      </c>
      <c r="C736" s="15"/>
      <c r="D736" s="242"/>
      <c r="E736" s="15">
        <v>10</v>
      </c>
      <c r="F736" s="37">
        <v>500</v>
      </c>
      <c r="G736" s="32">
        <f t="shared" si="243"/>
        <v>2.8000000000000003</v>
      </c>
      <c r="H736" s="28" t="s">
        <v>68</v>
      </c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15"/>
      <c r="T736" s="7" t="s">
        <v>493</v>
      </c>
      <c r="U736" s="308"/>
      <c r="V736" s="92"/>
      <c r="W736" s="13">
        <f>4800*rentFact</f>
        <v>5280</v>
      </c>
      <c r="X736" s="110">
        <f t="shared" si="252"/>
        <v>0</v>
      </c>
      <c r="Y736" s="110">
        <f t="shared" si="253"/>
        <v>0</v>
      </c>
      <c r="Z736" s="110">
        <f t="shared" si="254"/>
        <v>0</v>
      </c>
      <c r="AA736" s="110">
        <f t="shared" si="255"/>
        <v>0</v>
      </c>
      <c r="AB736" s="110">
        <f t="shared" si="246"/>
        <v>0</v>
      </c>
      <c r="AC736" s="386" t="s">
        <v>163</v>
      </c>
      <c r="AD736" s="386" t="s">
        <v>176</v>
      </c>
      <c r="AE736" s="386"/>
      <c r="AF736" s="386"/>
    </row>
    <row r="737" spans="1:32" hidden="1" x14ac:dyDescent="0.2">
      <c r="A737" s="14" t="str">
        <f t="shared" si="245"/>
        <v/>
      </c>
      <c r="B737" s="100" t="s">
        <v>489</v>
      </c>
      <c r="C737" s="15"/>
      <c r="D737" s="242"/>
      <c r="E737" s="15">
        <v>6</v>
      </c>
      <c r="F737" s="37">
        <v>300</v>
      </c>
      <c r="G737" s="32">
        <f t="shared" si="243"/>
        <v>2.8000000000000003</v>
      </c>
      <c r="H737" s="28" t="s">
        <v>68</v>
      </c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15"/>
      <c r="T737" s="7" t="s">
        <v>493</v>
      </c>
      <c r="U737" s="308"/>
      <c r="V737" s="92"/>
      <c r="W737" s="13">
        <f>496*rentFact</f>
        <v>545.6</v>
      </c>
      <c r="X737" s="110">
        <f t="shared" si="252"/>
        <v>0</v>
      </c>
      <c r="Y737" s="110">
        <f t="shared" si="253"/>
        <v>0</v>
      </c>
      <c r="Z737" s="110">
        <f t="shared" si="254"/>
        <v>0</v>
      </c>
      <c r="AA737" s="110">
        <f t="shared" si="255"/>
        <v>0</v>
      </c>
      <c r="AB737" s="110">
        <f t="shared" si="246"/>
        <v>0</v>
      </c>
      <c r="AC737" s="386" t="s">
        <v>163</v>
      </c>
      <c r="AD737" s="386" t="s">
        <v>176</v>
      </c>
      <c r="AE737" s="386"/>
      <c r="AF737" s="386"/>
    </row>
    <row r="738" spans="1:32" hidden="1" x14ac:dyDescent="0.2">
      <c r="A738" s="14" t="str">
        <f t="shared" si="245"/>
        <v/>
      </c>
      <c r="B738" s="100" t="s">
        <v>488</v>
      </c>
      <c r="C738" s="15"/>
      <c r="D738" s="242"/>
      <c r="E738" s="15">
        <v>8</v>
      </c>
      <c r="F738" s="37">
        <v>300</v>
      </c>
      <c r="G738" s="32">
        <f t="shared" si="243"/>
        <v>2.8000000000000003</v>
      </c>
      <c r="H738" s="28" t="s">
        <v>68</v>
      </c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15"/>
      <c r="T738" s="7" t="s">
        <v>493</v>
      </c>
      <c r="U738" s="308"/>
      <c r="V738" s="92"/>
      <c r="W738" s="13">
        <f>631*rentFact</f>
        <v>694.1</v>
      </c>
      <c r="X738" s="110">
        <f t="shared" si="252"/>
        <v>0</v>
      </c>
      <c r="Y738" s="110">
        <f t="shared" si="253"/>
        <v>0</v>
      </c>
      <c r="Z738" s="110">
        <f t="shared" si="254"/>
        <v>0</v>
      </c>
      <c r="AA738" s="110">
        <f t="shared" si="255"/>
        <v>0</v>
      </c>
      <c r="AB738" s="110">
        <f t="shared" si="246"/>
        <v>0</v>
      </c>
      <c r="AC738" s="386" t="s">
        <v>163</v>
      </c>
      <c r="AD738" s="386" t="s">
        <v>176</v>
      </c>
      <c r="AE738" s="386"/>
      <c r="AF738" s="386"/>
    </row>
    <row r="739" spans="1:32" hidden="1" x14ac:dyDescent="0.2">
      <c r="A739" s="14" t="str">
        <f t="shared" ref="A739" si="256">+IF(AB739&lt;&gt;0,"X","")</f>
        <v/>
      </c>
      <c r="B739" s="100" t="s">
        <v>664</v>
      </c>
      <c r="C739" s="15"/>
      <c r="D739" s="242"/>
      <c r="E739" s="15"/>
      <c r="F739" s="37">
        <v>50</v>
      </c>
      <c r="G739" s="32">
        <f t="shared" si="243"/>
        <v>2.8000000000000003</v>
      </c>
      <c r="H739" s="28" t="s">
        <v>68</v>
      </c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15"/>
      <c r="T739" s="7" t="s">
        <v>493</v>
      </c>
      <c r="U739" s="308"/>
      <c r="V739" s="92"/>
      <c r="W739" s="13">
        <f>500*rentFact</f>
        <v>550</v>
      </c>
      <c r="X739" s="110">
        <f t="shared" ref="X739" si="257">IF(H739="L",V739*W739,0)</f>
        <v>0</v>
      </c>
      <c r="Y739" s="110">
        <f t="shared" ref="Y739" si="258">IF(H739="M",S739*W739,0)</f>
        <v>0</v>
      </c>
      <c r="Z739" s="110">
        <f t="shared" ref="Z739" si="259">IF(H739="S",S739*W739,0)</f>
        <v>0</v>
      </c>
      <c r="AA739" s="110">
        <f t="shared" ref="AA739" si="260">IF(H739="E",G739*S739*W739,0)</f>
        <v>0</v>
      </c>
      <c r="AB739" s="110">
        <f t="shared" ref="AB739" si="261">SUM(X739:AA739)</f>
        <v>0</v>
      </c>
      <c r="AC739" s="386" t="s">
        <v>163</v>
      </c>
      <c r="AD739" s="386" t="s">
        <v>176</v>
      </c>
      <c r="AE739" s="386"/>
      <c r="AF739" s="386"/>
    </row>
    <row r="740" spans="1:32" hidden="1" x14ac:dyDescent="0.2">
      <c r="A740" s="14" t="str">
        <f t="shared" ref="A740" si="262">+IF(AB740&lt;&gt;0,"X","")</f>
        <v/>
      </c>
      <c r="B740" s="100" t="s">
        <v>663</v>
      </c>
      <c r="C740" s="15"/>
      <c r="D740" s="242"/>
      <c r="E740" s="15"/>
      <c r="F740" s="37">
        <v>300</v>
      </c>
      <c r="G740" s="32">
        <f t="shared" si="243"/>
        <v>2.8000000000000003</v>
      </c>
      <c r="H740" s="28" t="s">
        <v>68</v>
      </c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15"/>
      <c r="T740" s="7" t="s">
        <v>493</v>
      </c>
      <c r="U740" s="308"/>
      <c r="V740" s="92"/>
      <c r="W740" s="13">
        <f>1365*rentFact</f>
        <v>1501.5000000000002</v>
      </c>
      <c r="X740" s="110">
        <f t="shared" ref="X740" si="263">IF(H740="L",V740*W740,0)</f>
        <v>0</v>
      </c>
      <c r="Y740" s="110">
        <f t="shared" ref="Y740" si="264">IF(H740="M",S740*W740,0)</f>
        <v>0</v>
      </c>
      <c r="Z740" s="110">
        <f t="shared" ref="Z740" si="265">IF(H740="S",S740*W740,0)</f>
        <v>0</v>
      </c>
      <c r="AA740" s="110">
        <f t="shared" ref="AA740" si="266">IF(H740="E",G740*S740*W740,0)</f>
        <v>0</v>
      </c>
      <c r="AB740" s="110">
        <f t="shared" ref="AB740" si="267">SUM(X740:AA740)</f>
        <v>0</v>
      </c>
      <c r="AC740" s="386" t="s">
        <v>163</v>
      </c>
      <c r="AD740" s="386" t="s">
        <v>176</v>
      </c>
      <c r="AE740" s="386"/>
      <c r="AF740" s="386"/>
    </row>
    <row r="741" spans="1:32" hidden="1" x14ac:dyDescent="0.2">
      <c r="A741" s="14" t="str">
        <f t="shared" si="245"/>
        <v/>
      </c>
      <c r="B741" s="100" t="s">
        <v>577</v>
      </c>
      <c r="C741" s="15"/>
      <c r="D741" s="242"/>
      <c r="E741" s="15"/>
      <c r="F741" s="37"/>
      <c r="G741" s="32">
        <f>2*SUM(V3:V184)</f>
        <v>2760</v>
      </c>
      <c r="H741" s="28" t="s">
        <v>68</v>
      </c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15"/>
      <c r="T741" s="7" t="s">
        <v>493</v>
      </c>
      <c r="U741" s="308"/>
      <c r="V741" s="92"/>
      <c r="W741" s="13">
        <v>16</v>
      </c>
      <c r="X741" s="110">
        <f t="shared" si="252"/>
        <v>0</v>
      </c>
      <c r="Y741" s="110">
        <f t="shared" si="253"/>
        <v>0</v>
      </c>
      <c r="Z741" s="110">
        <f t="shared" si="254"/>
        <v>0</v>
      </c>
      <c r="AA741" s="110">
        <f t="shared" si="255"/>
        <v>0</v>
      </c>
      <c r="AB741" s="110">
        <f t="shared" ref="AB741" si="268">SUM(X741:AA741)</f>
        <v>0</v>
      </c>
      <c r="AC741" s="386" t="s">
        <v>163</v>
      </c>
      <c r="AD741" s="386" t="s">
        <v>176</v>
      </c>
      <c r="AE741" s="386"/>
      <c r="AF741" s="386"/>
    </row>
    <row r="742" spans="1:32" hidden="1" x14ac:dyDescent="0.2">
      <c r="A742" s="14" t="str">
        <f>+IF(AB742&lt;&gt;0,"X","")</f>
        <v/>
      </c>
      <c r="B742" s="100" t="s">
        <v>732</v>
      </c>
      <c r="C742" s="15"/>
      <c r="D742" s="242"/>
      <c r="E742" s="15"/>
      <c r="F742" s="37">
        <f>345*2</f>
        <v>690</v>
      </c>
      <c r="G742" s="32">
        <f t="shared" ref="G742:G759" si="269">sch_Mech_Mo</f>
        <v>2.8000000000000003</v>
      </c>
      <c r="H742" s="28" t="s">
        <v>68</v>
      </c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15"/>
      <c r="T742" s="7" t="s">
        <v>493</v>
      </c>
      <c r="U742" s="308"/>
      <c r="V742" s="92"/>
      <c r="W742" s="13">
        <f>(35338-2693-690)/8</f>
        <v>3994.375</v>
      </c>
      <c r="X742" s="110">
        <f t="shared" si="252"/>
        <v>0</v>
      </c>
      <c r="Y742" s="110">
        <f t="shared" si="253"/>
        <v>0</v>
      </c>
      <c r="Z742" s="110">
        <f t="shared" si="254"/>
        <v>0</v>
      </c>
      <c r="AA742" s="110">
        <f t="shared" si="255"/>
        <v>0</v>
      </c>
      <c r="AB742" s="110">
        <f t="shared" ref="AB742" si="270">SUM(X742:AA742)</f>
        <v>0</v>
      </c>
      <c r="AC742" s="386" t="s">
        <v>163</v>
      </c>
      <c r="AD742" s="386" t="s">
        <v>176</v>
      </c>
      <c r="AE742" s="386"/>
      <c r="AF742" s="386"/>
    </row>
    <row r="743" spans="1:32" hidden="1" x14ac:dyDescent="0.2">
      <c r="A743" s="14" t="str">
        <f>+IF(AB743&lt;&gt;0,"X","")</f>
        <v/>
      </c>
      <c r="B743" s="100" t="s">
        <v>659</v>
      </c>
      <c r="C743" s="15"/>
      <c r="D743" s="242"/>
      <c r="E743" s="15"/>
      <c r="F743" s="37">
        <f>185+500</f>
        <v>685</v>
      </c>
      <c r="G743" s="32">
        <f t="shared" si="269"/>
        <v>2.8000000000000003</v>
      </c>
      <c r="H743" s="28" t="s">
        <v>68</v>
      </c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15"/>
      <c r="T743" s="7" t="s">
        <v>493</v>
      </c>
      <c r="U743" s="308"/>
      <c r="V743" s="92"/>
      <c r="W743" s="13">
        <f>600*rentFact</f>
        <v>660</v>
      </c>
      <c r="X743" s="110">
        <f t="shared" ref="X743" si="271">IF(H743="L",V743*W743,0)</f>
        <v>0</v>
      </c>
      <c r="Y743" s="110">
        <f t="shared" ref="Y743" si="272">IF(H743="M",S743*W743,0)</f>
        <v>0</v>
      </c>
      <c r="Z743" s="110">
        <f t="shared" ref="Z743" si="273">IF(H743="S",S743*W743,0)</f>
        <v>0</v>
      </c>
      <c r="AA743" s="110">
        <f t="shared" ref="AA743" si="274">IF(H743="E",G743*S743*W743,0)</f>
        <v>0</v>
      </c>
      <c r="AB743" s="110">
        <f t="shared" ref="AB743" si="275">SUM(X743:AA743)</f>
        <v>0</v>
      </c>
      <c r="AC743" s="386" t="s">
        <v>163</v>
      </c>
      <c r="AD743" s="386" t="s">
        <v>176</v>
      </c>
      <c r="AE743" s="386"/>
      <c r="AF743" s="386"/>
    </row>
    <row r="744" spans="1:32" hidden="1" x14ac:dyDescent="0.2">
      <c r="A744" s="14" t="str">
        <f t="shared" si="245"/>
        <v/>
      </c>
      <c r="B744" s="69" t="s">
        <v>334</v>
      </c>
      <c r="C744" s="15"/>
      <c r="D744" s="242"/>
      <c r="E744" s="15"/>
      <c r="F744" s="37">
        <v>200</v>
      </c>
      <c r="G744" s="32">
        <f t="shared" si="269"/>
        <v>2.8000000000000003</v>
      </c>
      <c r="H744" s="28" t="s">
        <v>68</v>
      </c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15"/>
      <c r="T744" s="7" t="s">
        <v>493</v>
      </c>
      <c r="U744" s="308"/>
      <c r="V744" s="92"/>
      <c r="W744" s="13">
        <f>120*rentFact</f>
        <v>132</v>
      </c>
      <c r="X744" s="110">
        <f t="shared" si="252"/>
        <v>0</v>
      </c>
      <c r="Y744" s="110">
        <f t="shared" si="253"/>
        <v>0</v>
      </c>
      <c r="Z744" s="110">
        <f t="shared" si="254"/>
        <v>0</v>
      </c>
      <c r="AA744" s="110">
        <f t="shared" si="255"/>
        <v>0</v>
      </c>
      <c r="AB744" s="110">
        <f t="shared" si="246"/>
        <v>0</v>
      </c>
      <c r="AC744" s="386" t="s">
        <v>163</v>
      </c>
      <c r="AD744" s="386" t="s">
        <v>176</v>
      </c>
      <c r="AE744" s="386"/>
      <c r="AF744" s="386"/>
    </row>
    <row r="745" spans="1:32" hidden="1" x14ac:dyDescent="0.2">
      <c r="A745" s="14" t="str">
        <f t="shared" si="245"/>
        <v/>
      </c>
      <c r="B745" s="69" t="s">
        <v>335</v>
      </c>
      <c r="C745" s="15"/>
      <c r="D745" s="242"/>
      <c r="E745" s="15">
        <v>12</v>
      </c>
      <c r="F745" s="37">
        <v>400</v>
      </c>
      <c r="G745" s="32">
        <f t="shared" si="269"/>
        <v>2.8000000000000003</v>
      </c>
      <c r="H745" s="28" t="s">
        <v>68</v>
      </c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15"/>
      <c r="T745" s="7" t="s">
        <v>493</v>
      </c>
      <c r="U745" s="308"/>
      <c r="V745" s="92"/>
      <c r="W745" s="13">
        <f>495*rentFact</f>
        <v>544.5</v>
      </c>
      <c r="X745" s="110">
        <f t="shared" si="252"/>
        <v>0</v>
      </c>
      <c r="Y745" s="110">
        <f t="shared" si="253"/>
        <v>0</v>
      </c>
      <c r="Z745" s="110">
        <f t="shared" si="254"/>
        <v>0</v>
      </c>
      <c r="AA745" s="110">
        <f t="shared" si="255"/>
        <v>0</v>
      </c>
      <c r="AB745" s="110">
        <f t="shared" si="246"/>
        <v>0</v>
      </c>
      <c r="AC745" s="386" t="s">
        <v>163</v>
      </c>
      <c r="AD745" s="386" t="s">
        <v>176</v>
      </c>
      <c r="AE745" s="386"/>
      <c r="AF745" s="386"/>
    </row>
    <row r="746" spans="1:32" hidden="1" x14ac:dyDescent="0.2">
      <c r="A746" s="14" t="str">
        <f t="shared" si="245"/>
        <v/>
      </c>
      <c r="B746" s="69" t="s">
        <v>652</v>
      </c>
      <c r="C746" s="15"/>
      <c r="D746" s="242"/>
      <c r="E746" s="15" t="s">
        <v>13</v>
      </c>
      <c r="F746" s="37">
        <v>300</v>
      </c>
      <c r="G746" s="32">
        <f t="shared" si="269"/>
        <v>2.8000000000000003</v>
      </c>
      <c r="H746" s="28" t="s">
        <v>68</v>
      </c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15"/>
      <c r="T746" s="7" t="s">
        <v>493</v>
      </c>
      <c r="U746" s="308"/>
      <c r="V746" s="92"/>
      <c r="W746" s="13">
        <f>500*rentFact</f>
        <v>550</v>
      </c>
      <c r="X746" s="110">
        <f t="shared" si="252"/>
        <v>0</v>
      </c>
      <c r="Y746" s="110">
        <f t="shared" si="253"/>
        <v>0</v>
      </c>
      <c r="Z746" s="110">
        <f t="shared" si="254"/>
        <v>0</v>
      </c>
      <c r="AA746" s="110">
        <f t="shared" si="255"/>
        <v>0</v>
      </c>
      <c r="AB746" s="110">
        <f t="shared" si="246"/>
        <v>0</v>
      </c>
      <c r="AC746" s="386" t="s">
        <v>163</v>
      </c>
      <c r="AD746" s="386" t="s">
        <v>176</v>
      </c>
      <c r="AE746" s="386"/>
      <c r="AF746" s="386"/>
    </row>
    <row r="747" spans="1:32" hidden="1" x14ac:dyDescent="0.2">
      <c r="A747" s="14" t="str">
        <f t="shared" si="245"/>
        <v/>
      </c>
      <c r="B747" s="69" t="s">
        <v>336</v>
      </c>
      <c r="C747" s="15"/>
      <c r="D747" s="242"/>
      <c r="E747" s="15" t="s">
        <v>13</v>
      </c>
      <c r="F747" s="37">
        <v>300</v>
      </c>
      <c r="G747" s="32">
        <f t="shared" si="269"/>
        <v>2.8000000000000003</v>
      </c>
      <c r="H747" s="28" t="s">
        <v>68</v>
      </c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15"/>
      <c r="T747" s="7" t="s">
        <v>493</v>
      </c>
      <c r="U747" s="308"/>
      <c r="V747" s="92"/>
      <c r="W747" s="13">
        <f>960*rentFact</f>
        <v>1056</v>
      </c>
      <c r="X747" s="110">
        <f t="shared" si="252"/>
        <v>0</v>
      </c>
      <c r="Y747" s="110">
        <f t="shared" si="253"/>
        <v>0</v>
      </c>
      <c r="Z747" s="110">
        <f t="shared" si="254"/>
        <v>0</v>
      </c>
      <c r="AA747" s="110">
        <f t="shared" si="255"/>
        <v>0</v>
      </c>
      <c r="AB747" s="110">
        <f t="shared" si="246"/>
        <v>0</v>
      </c>
      <c r="AC747" s="386" t="s">
        <v>163</v>
      </c>
      <c r="AD747" s="386" t="s">
        <v>176</v>
      </c>
      <c r="AE747" s="386"/>
      <c r="AF747" s="386"/>
    </row>
    <row r="748" spans="1:32" hidden="1" x14ac:dyDescent="0.2">
      <c r="A748" s="14" t="str">
        <f t="shared" si="245"/>
        <v/>
      </c>
      <c r="B748" s="69" t="s">
        <v>337</v>
      </c>
      <c r="C748" s="15"/>
      <c r="D748" s="242"/>
      <c r="E748" s="15" t="s">
        <v>13</v>
      </c>
      <c r="F748" s="37">
        <v>500</v>
      </c>
      <c r="G748" s="32">
        <f t="shared" si="269"/>
        <v>2.8000000000000003</v>
      </c>
      <c r="H748" s="28" t="s">
        <v>68</v>
      </c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15"/>
      <c r="T748" s="7" t="s">
        <v>493</v>
      </c>
      <c r="U748" s="308"/>
      <c r="V748" s="92"/>
      <c r="W748" s="13">
        <f>1063*rentFact</f>
        <v>1169.3000000000002</v>
      </c>
      <c r="X748" s="110">
        <f t="shared" si="252"/>
        <v>0</v>
      </c>
      <c r="Y748" s="110">
        <f t="shared" si="253"/>
        <v>0</v>
      </c>
      <c r="Z748" s="110">
        <f t="shared" si="254"/>
        <v>0</v>
      </c>
      <c r="AA748" s="110">
        <f t="shared" si="255"/>
        <v>0</v>
      </c>
      <c r="AB748" s="110">
        <f t="shared" si="246"/>
        <v>0</v>
      </c>
      <c r="AC748" s="386" t="s">
        <v>163</v>
      </c>
      <c r="AD748" s="386" t="s">
        <v>176</v>
      </c>
      <c r="AE748" s="386"/>
      <c r="AF748" s="386"/>
    </row>
    <row r="749" spans="1:32" hidden="1" x14ac:dyDescent="0.2">
      <c r="A749" s="14" t="str">
        <f t="shared" si="245"/>
        <v/>
      </c>
      <c r="B749" s="69" t="s">
        <v>338</v>
      </c>
      <c r="C749" s="15"/>
      <c r="D749" s="242"/>
      <c r="E749" s="15" t="s">
        <v>13</v>
      </c>
      <c r="F749" s="37">
        <v>100</v>
      </c>
      <c r="G749" s="32">
        <f t="shared" si="269"/>
        <v>2.8000000000000003</v>
      </c>
      <c r="H749" s="28" t="s">
        <v>68</v>
      </c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15"/>
      <c r="T749" s="7" t="s">
        <v>493</v>
      </c>
      <c r="U749" s="308"/>
      <c r="V749" s="92"/>
      <c r="W749" s="13">
        <f>199*rentFact</f>
        <v>218.9</v>
      </c>
      <c r="X749" s="110">
        <f t="shared" si="252"/>
        <v>0</v>
      </c>
      <c r="Y749" s="110">
        <f t="shared" si="253"/>
        <v>0</v>
      </c>
      <c r="Z749" s="110">
        <f t="shared" si="254"/>
        <v>0</v>
      </c>
      <c r="AA749" s="110">
        <f t="shared" si="255"/>
        <v>0</v>
      </c>
      <c r="AB749" s="110">
        <f t="shared" si="246"/>
        <v>0</v>
      </c>
      <c r="AC749" s="386" t="s">
        <v>163</v>
      </c>
      <c r="AD749" s="386" t="s">
        <v>176</v>
      </c>
      <c r="AE749" s="386"/>
      <c r="AF749" s="386"/>
    </row>
    <row r="750" spans="1:32" hidden="1" x14ac:dyDescent="0.2">
      <c r="A750" s="14" t="str">
        <f t="shared" si="245"/>
        <v/>
      </c>
      <c r="B750" s="69" t="s">
        <v>339</v>
      </c>
      <c r="C750" s="15"/>
      <c r="D750" s="242"/>
      <c r="E750" s="15"/>
      <c r="F750" s="37">
        <v>0</v>
      </c>
      <c r="G750" s="32">
        <f t="shared" si="269"/>
        <v>2.8000000000000003</v>
      </c>
      <c r="H750" s="28" t="s">
        <v>68</v>
      </c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15"/>
      <c r="T750" s="7" t="s">
        <v>493</v>
      </c>
      <c r="U750" s="308"/>
      <c r="V750" s="92"/>
      <c r="W750" s="13">
        <f>1000*rentFact</f>
        <v>1100</v>
      </c>
      <c r="X750" s="110">
        <f t="shared" si="252"/>
        <v>0</v>
      </c>
      <c r="Y750" s="110">
        <f t="shared" si="253"/>
        <v>0</v>
      </c>
      <c r="Z750" s="110">
        <f t="shared" si="254"/>
        <v>0</v>
      </c>
      <c r="AA750" s="110">
        <f t="shared" si="255"/>
        <v>0</v>
      </c>
      <c r="AB750" s="110">
        <f t="shared" si="246"/>
        <v>0</v>
      </c>
      <c r="AC750" s="386" t="s">
        <v>163</v>
      </c>
      <c r="AD750" s="386" t="s">
        <v>176</v>
      </c>
      <c r="AE750" s="386"/>
      <c r="AF750" s="386"/>
    </row>
    <row r="751" spans="1:32" hidden="1" x14ac:dyDescent="0.2">
      <c r="A751" s="14" t="str">
        <f t="shared" si="245"/>
        <v/>
      </c>
      <c r="B751" s="69" t="s">
        <v>340</v>
      </c>
      <c r="C751" s="15"/>
      <c r="D751" s="242"/>
      <c r="E751" s="15">
        <v>18</v>
      </c>
      <c r="F751" s="37">
        <v>300</v>
      </c>
      <c r="G751" s="32">
        <f t="shared" si="269"/>
        <v>2.8000000000000003</v>
      </c>
      <c r="H751" s="28" t="s">
        <v>68</v>
      </c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15"/>
      <c r="T751" s="7" t="s">
        <v>493</v>
      </c>
      <c r="U751" s="308"/>
      <c r="V751" s="92"/>
      <c r="W751" s="13">
        <f>500*rentFact</f>
        <v>550</v>
      </c>
      <c r="X751" s="110">
        <f t="shared" si="252"/>
        <v>0</v>
      </c>
      <c r="Y751" s="110">
        <f t="shared" si="253"/>
        <v>0</v>
      </c>
      <c r="Z751" s="110">
        <f t="shared" si="254"/>
        <v>0</v>
      </c>
      <c r="AA751" s="110">
        <f t="shared" si="255"/>
        <v>0</v>
      </c>
      <c r="AB751" s="110">
        <f t="shared" si="246"/>
        <v>0</v>
      </c>
      <c r="AC751" s="386" t="s">
        <v>163</v>
      </c>
      <c r="AD751" s="386" t="s">
        <v>176</v>
      </c>
      <c r="AE751" s="386"/>
      <c r="AF751" s="386"/>
    </row>
    <row r="752" spans="1:32" hidden="1" x14ac:dyDescent="0.2">
      <c r="A752" s="14" t="str">
        <f t="shared" si="245"/>
        <v/>
      </c>
      <c r="B752" s="69" t="s">
        <v>490</v>
      </c>
      <c r="C752" s="15"/>
      <c r="D752" s="242"/>
      <c r="E752" s="15">
        <v>25</v>
      </c>
      <c r="F752" s="37">
        <v>300</v>
      </c>
      <c r="G752" s="32">
        <f t="shared" si="269"/>
        <v>2.8000000000000003</v>
      </c>
      <c r="H752" s="28" t="s">
        <v>68</v>
      </c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15"/>
      <c r="T752" s="7" t="s">
        <v>493</v>
      </c>
      <c r="U752" s="308"/>
      <c r="V752" s="92"/>
      <c r="W752" s="13">
        <f>1050*rentFact</f>
        <v>1155</v>
      </c>
      <c r="X752" s="110">
        <f t="shared" si="252"/>
        <v>0</v>
      </c>
      <c r="Y752" s="110">
        <f t="shared" si="253"/>
        <v>0</v>
      </c>
      <c r="Z752" s="110">
        <f t="shared" si="254"/>
        <v>0</v>
      </c>
      <c r="AA752" s="110">
        <f t="shared" si="255"/>
        <v>0</v>
      </c>
      <c r="AB752" s="110">
        <f>SUM(X752:AA752)</f>
        <v>0</v>
      </c>
      <c r="AC752" s="386" t="s">
        <v>163</v>
      </c>
      <c r="AD752" s="386" t="s">
        <v>176</v>
      </c>
      <c r="AE752" s="386"/>
      <c r="AF752" s="386"/>
    </row>
    <row r="753" spans="1:32" hidden="1" x14ac:dyDescent="0.2">
      <c r="A753" s="14" t="str">
        <f t="shared" si="245"/>
        <v/>
      </c>
      <c r="B753" s="69" t="s">
        <v>341</v>
      </c>
      <c r="C753" s="15"/>
      <c r="D753" s="242"/>
      <c r="E753" s="15">
        <v>8</v>
      </c>
      <c r="F753" s="37">
        <v>100</v>
      </c>
      <c r="G753" s="32">
        <f t="shared" si="269"/>
        <v>2.8000000000000003</v>
      </c>
      <c r="H753" s="28" t="s">
        <v>68</v>
      </c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15"/>
      <c r="T753" s="7" t="s">
        <v>493</v>
      </c>
      <c r="U753" s="308"/>
      <c r="V753" s="92"/>
      <c r="W753" s="13">
        <f>560*rentFact</f>
        <v>616</v>
      </c>
      <c r="X753" s="110">
        <f t="shared" si="252"/>
        <v>0</v>
      </c>
      <c r="Y753" s="110">
        <f t="shared" si="253"/>
        <v>0</v>
      </c>
      <c r="Z753" s="110">
        <f t="shared" si="254"/>
        <v>0</v>
      </c>
      <c r="AA753" s="110">
        <f t="shared" si="255"/>
        <v>0</v>
      </c>
      <c r="AB753" s="110">
        <f t="shared" si="246"/>
        <v>0</v>
      </c>
      <c r="AC753" s="386" t="s">
        <v>163</v>
      </c>
      <c r="AD753" s="386" t="s">
        <v>176</v>
      </c>
      <c r="AE753" s="386"/>
      <c r="AF753" s="386"/>
    </row>
    <row r="754" spans="1:32" hidden="1" x14ac:dyDescent="0.2">
      <c r="A754" s="14" t="str">
        <f t="shared" si="245"/>
        <v/>
      </c>
      <c r="B754" s="69" t="s">
        <v>342</v>
      </c>
      <c r="C754" s="15"/>
      <c r="D754" s="242"/>
      <c r="E754" s="15" t="s">
        <v>13</v>
      </c>
      <c r="F754" s="37">
        <v>300</v>
      </c>
      <c r="G754" s="32">
        <f t="shared" si="269"/>
        <v>2.8000000000000003</v>
      </c>
      <c r="H754" s="28" t="s">
        <v>68</v>
      </c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15"/>
      <c r="T754" s="7" t="s">
        <v>493</v>
      </c>
      <c r="U754" s="308"/>
      <c r="V754" s="92"/>
      <c r="W754" s="13">
        <f>405*rentFact</f>
        <v>445.50000000000006</v>
      </c>
      <c r="X754" s="110">
        <f t="shared" si="252"/>
        <v>0</v>
      </c>
      <c r="Y754" s="110">
        <f t="shared" si="253"/>
        <v>0</v>
      </c>
      <c r="Z754" s="110">
        <f t="shared" si="254"/>
        <v>0</v>
      </c>
      <c r="AA754" s="110">
        <f t="shared" si="255"/>
        <v>0</v>
      </c>
      <c r="AB754" s="110">
        <f t="shared" si="246"/>
        <v>0</v>
      </c>
      <c r="AC754" s="386" t="s">
        <v>163</v>
      </c>
      <c r="AD754" s="386" t="s">
        <v>176</v>
      </c>
      <c r="AE754" s="386"/>
      <c r="AF754" s="386"/>
    </row>
    <row r="755" spans="1:32" hidden="1" x14ac:dyDescent="0.2">
      <c r="A755" s="14" t="str">
        <f t="shared" ref="A755" si="276">+IF(AB755&lt;&gt;0,"X","")</f>
        <v/>
      </c>
      <c r="B755" s="69" t="s">
        <v>653</v>
      </c>
      <c r="C755" s="15"/>
      <c r="D755" s="242"/>
      <c r="E755" s="15"/>
      <c r="F755" s="37">
        <f>500*1.75</f>
        <v>875</v>
      </c>
      <c r="G755" s="32">
        <f t="shared" si="269"/>
        <v>2.8000000000000003</v>
      </c>
      <c r="H755" s="28" t="s">
        <v>68</v>
      </c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15"/>
      <c r="T755" s="7" t="s">
        <v>493</v>
      </c>
      <c r="U755" s="308"/>
      <c r="V755" s="92"/>
      <c r="W755" s="13">
        <f>1800*rentFact</f>
        <v>1980.0000000000002</v>
      </c>
      <c r="X755" s="110">
        <f t="shared" ref="X755" si="277">IF(H755="L",V755*W755,0)</f>
        <v>0</v>
      </c>
      <c r="Y755" s="110">
        <f t="shared" ref="Y755" si="278">IF(H755="M",S755*W755,0)</f>
        <v>0</v>
      </c>
      <c r="Z755" s="110">
        <f t="shared" ref="Z755" si="279">IF(H755="S",S755*W755,0)</f>
        <v>0</v>
      </c>
      <c r="AA755" s="110">
        <f t="shared" ref="AA755" si="280">IF(H755="E",G755*S755*W755,0)</f>
        <v>0</v>
      </c>
      <c r="AB755" s="110">
        <f t="shared" ref="AB755" si="281">SUM(X755:AA755)</f>
        <v>0</v>
      </c>
      <c r="AC755" s="386" t="s">
        <v>163</v>
      </c>
      <c r="AD755" s="386" t="s">
        <v>176</v>
      </c>
      <c r="AE755" s="386"/>
      <c r="AF755" s="386"/>
    </row>
    <row r="756" spans="1:32" hidden="1" x14ac:dyDescent="0.2">
      <c r="A756" s="14" t="str">
        <f t="shared" ref="A756:A757" si="282">+IF(AB756&lt;&gt;0,"X","")</f>
        <v/>
      </c>
      <c r="B756" s="69" t="s">
        <v>657</v>
      </c>
      <c r="C756" s="15"/>
      <c r="D756" s="242"/>
      <c r="E756" s="15"/>
      <c r="F756" s="37">
        <f>500*1.75</f>
        <v>875</v>
      </c>
      <c r="G756" s="32">
        <f t="shared" si="269"/>
        <v>2.8000000000000003</v>
      </c>
      <c r="H756" s="28" t="s">
        <v>68</v>
      </c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15"/>
      <c r="T756" s="7" t="s">
        <v>493</v>
      </c>
      <c r="U756" s="308"/>
      <c r="V756" s="92"/>
      <c r="W756" s="13">
        <f>3000*rentFact</f>
        <v>3300.0000000000005</v>
      </c>
      <c r="X756" s="110">
        <f t="shared" ref="X756:X757" si="283">IF(H756="L",V756*W756,0)</f>
        <v>0</v>
      </c>
      <c r="Y756" s="110">
        <f t="shared" ref="Y756:Y757" si="284">IF(H756="M",S756*W756,0)</f>
        <v>0</v>
      </c>
      <c r="Z756" s="110">
        <f t="shared" ref="Z756:Z757" si="285">IF(H756="S",S756*W756,0)</f>
        <v>0</v>
      </c>
      <c r="AA756" s="110">
        <f t="shared" ref="AA756:AA757" si="286">IF(H756="E",G756*S756*W756,0)</f>
        <v>0</v>
      </c>
      <c r="AB756" s="110">
        <f t="shared" ref="AB756:AB757" si="287">SUM(X756:AA756)</f>
        <v>0</v>
      </c>
      <c r="AC756" s="386" t="s">
        <v>163</v>
      </c>
      <c r="AD756" s="386" t="s">
        <v>176</v>
      </c>
      <c r="AE756" s="386"/>
      <c r="AF756" s="386"/>
    </row>
    <row r="757" spans="1:32" hidden="1" x14ac:dyDescent="0.2">
      <c r="A757" s="14" t="str">
        <f t="shared" si="282"/>
        <v/>
      </c>
      <c r="B757" s="69" t="s">
        <v>658</v>
      </c>
      <c r="C757" s="15"/>
      <c r="D757" s="242"/>
      <c r="E757" s="15"/>
      <c r="F757" s="37">
        <f>500*1.75</f>
        <v>875</v>
      </c>
      <c r="G757" s="32">
        <f t="shared" si="269"/>
        <v>2.8000000000000003</v>
      </c>
      <c r="H757" s="28" t="s">
        <v>68</v>
      </c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15"/>
      <c r="T757" s="7" t="s">
        <v>493</v>
      </c>
      <c r="U757" s="308"/>
      <c r="V757" s="92"/>
      <c r="W757" s="13">
        <f>5500*rentFact</f>
        <v>6050.0000000000009</v>
      </c>
      <c r="X757" s="110">
        <f t="shared" si="283"/>
        <v>0</v>
      </c>
      <c r="Y757" s="110">
        <f t="shared" si="284"/>
        <v>0</v>
      </c>
      <c r="Z757" s="110">
        <f t="shared" si="285"/>
        <v>0</v>
      </c>
      <c r="AA757" s="110">
        <f t="shared" si="286"/>
        <v>0</v>
      </c>
      <c r="AB757" s="110">
        <f t="shared" si="287"/>
        <v>0</v>
      </c>
      <c r="AC757" s="386" t="s">
        <v>163</v>
      </c>
      <c r="AD757" s="386" t="s">
        <v>176</v>
      </c>
      <c r="AE757" s="386"/>
      <c r="AF757" s="386"/>
    </row>
    <row r="758" spans="1:32" hidden="1" x14ac:dyDescent="0.2">
      <c r="A758" s="14" t="str">
        <f t="shared" ref="A758" si="288">+IF(AB758&lt;&gt;0,"X","")</f>
        <v/>
      </c>
      <c r="B758" s="69" t="s">
        <v>656</v>
      </c>
      <c r="C758" s="15"/>
      <c r="D758" s="242"/>
      <c r="E758" s="15"/>
      <c r="F758" s="37">
        <v>100</v>
      </c>
      <c r="G758" s="32">
        <f t="shared" si="269"/>
        <v>2.8000000000000003</v>
      </c>
      <c r="H758" s="28" t="s">
        <v>68</v>
      </c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15"/>
      <c r="T758" s="7" t="s">
        <v>493</v>
      </c>
      <c r="U758" s="308"/>
      <c r="V758" s="92"/>
      <c r="W758" s="13">
        <f>300*rentFact</f>
        <v>330</v>
      </c>
      <c r="X758" s="110">
        <f t="shared" ref="X758" si="289">IF(H758="L",V758*W758,0)</f>
        <v>0</v>
      </c>
      <c r="Y758" s="110">
        <f t="shared" ref="Y758" si="290">IF(H758="M",S758*W758,0)</f>
        <v>0</v>
      </c>
      <c r="Z758" s="110">
        <f t="shared" ref="Z758" si="291">IF(H758="S",S758*W758,0)</f>
        <v>0</v>
      </c>
      <c r="AA758" s="110">
        <f t="shared" ref="AA758" si="292">IF(H758="E",G758*S758*W758,0)</f>
        <v>0</v>
      </c>
      <c r="AB758" s="110">
        <f t="shared" ref="AB758" si="293">SUM(X758:AA758)</f>
        <v>0</v>
      </c>
      <c r="AC758" s="386" t="s">
        <v>163</v>
      </c>
      <c r="AD758" s="386" t="s">
        <v>176</v>
      </c>
      <c r="AE758" s="386"/>
      <c r="AF758" s="386"/>
    </row>
    <row r="759" spans="1:32" hidden="1" x14ac:dyDescent="0.2">
      <c r="A759" s="14" t="str">
        <f t="shared" ref="A759" si="294">+IF(AB759&lt;&gt;0,"X","")</f>
        <v/>
      </c>
      <c r="B759" s="69" t="s">
        <v>654</v>
      </c>
      <c r="C759" s="15"/>
      <c r="D759" s="242"/>
      <c r="E759" s="15"/>
      <c r="F759" s="37">
        <v>100</v>
      </c>
      <c r="G759" s="32">
        <f t="shared" si="269"/>
        <v>2.8000000000000003</v>
      </c>
      <c r="H759" s="28" t="s">
        <v>68</v>
      </c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15"/>
      <c r="T759" s="7" t="s">
        <v>493</v>
      </c>
      <c r="U759" s="308"/>
      <c r="V759" s="92"/>
      <c r="W759" s="13">
        <f>120*rentFact</f>
        <v>132</v>
      </c>
      <c r="X759" s="110">
        <f t="shared" ref="X759" si="295">IF(H759="L",V759*W759,0)</f>
        <v>0</v>
      </c>
      <c r="Y759" s="110">
        <f t="shared" ref="Y759" si="296">IF(H759="M",S759*W759,0)</f>
        <v>0</v>
      </c>
      <c r="Z759" s="110">
        <f t="shared" ref="Z759" si="297">IF(H759="S",S759*W759,0)</f>
        <v>0</v>
      </c>
      <c r="AA759" s="110">
        <f t="shared" ref="AA759" si="298">IF(H759="E",G759*S759*W759,0)</f>
        <v>0</v>
      </c>
      <c r="AB759" s="110">
        <f t="shared" ref="AB759" si="299">SUM(X759:AA759)</f>
        <v>0</v>
      </c>
      <c r="AC759" s="386" t="s">
        <v>163</v>
      </c>
      <c r="AD759" s="386" t="s">
        <v>176</v>
      </c>
      <c r="AE759" s="386"/>
      <c r="AF759" s="386"/>
    </row>
    <row r="760" spans="1:32" hidden="1" x14ac:dyDescent="0.2">
      <c r="A760" s="14" t="str">
        <f>+IF(SUM(AB761:AB766)&lt;&gt;0,"X","")</f>
        <v/>
      </c>
      <c r="B760" s="159" t="s">
        <v>630</v>
      </c>
      <c r="C760" s="85" t="s">
        <v>13</v>
      </c>
      <c r="D760" s="242"/>
      <c r="E760" s="15"/>
      <c r="F760" s="37"/>
      <c r="G760" s="32" t="s">
        <v>609</v>
      </c>
      <c r="H760" s="28" t="s">
        <v>68</v>
      </c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15"/>
      <c r="T760" s="7"/>
      <c r="U760" s="308"/>
      <c r="V760" s="92"/>
      <c r="W760" s="13"/>
      <c r="X760" s="110"/>
      <c r="Y760" s="110"/>
      <c r="Z760" s="110"/>
      <c r="AA760" s="110"/>
      <c r="AB760" s="110"/>
      <c r="AC760" s="42"/>
      <c r="AD760" s="42"/>
      <c r="AE760" s="42"/>
      <c r="AF760" s="42"/>
    </row>
    <row r="761" spans="1:32" hidden="1" x14ac:dyDescent="0.2">
      <c r="A761" s="14" t="str">
        <f>+IF(AB761&lt;&gt;0,"X","")</f>
        <v/>
      </c>
      <c r="B761" s="69" t="s">
        <v>631</v>
      </c>
      <c r="C761" s="15"/>
      <c r="D761" s="242"/>
      <c r="E761" s="15" t="s">
        <v>13</v>
      </c>
      <c r="F761" s="37">
        <v>200</v>
      </c>
      <c r="G761" s="314">
        <f t="shared" ref="G761:G766" si="300">$D$948</f>
        <v>60</v>
      </c>
      <c r="H761" s="28" t="s">
        <v>68</v>
      </c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15"/>
      <c r="T761" s="7" t="s">
        <v>493</v>
      </c>
      <c r="U761" s="308"/>
      <c r="V761" s="92"/>
      <c r="W761" s="13">
        <f>110*rentFact</f>
        <v>121.00000000000001</v>
      </c>
      <c r="X761" s="110">
        <f t="shared" ref="X761:X791" si="301">IF(H761="L",V761*W761,0)</f>
        <v>0</v>
      </c>
      <c r="Y761" s="110">
        <f t="shared" ref="Y761:Y791" si="302">IF(H761="M",S761*W761,0)</f>
        <v>0</v>
      </c>
      <c r="Z761" s="110">
        <f t="shared" ref="Z761:Z791" si="303">IF(H761="S",S761*W761,0)</f>
        <v>0</v>
      </c>
      <c r="AA761" s="110">
        <f t="shared" ref="AA761:AA791" si="304">IF(H761="E",G761*S761*W761,0)</f>
        <v>0</v>
      </c>
      <c r="AB761" s="110">
        <f t="shared" ref="AB761:AB764" si="305">SUM(X761:AA761)</f>
        <v>0</v>
      </c>
      <c r="AC761" s="386" t="s">
        <v>163</v>
      </c>
      <c r="AD761" s="386" t="s">
        <v>176</v>
      </c>
      <c r="AE761" s="386"/>
      <c r="AF761" s="386"/>
    </row>
    <row r="762" spans="1:32" hidden="1" x14ac:dyDescent="0.2">
      <c r="A762" s="14" t="str">
        <f>+IF(AB762&lt;&gt;0,"X","")</f>
        <v/>
      </c>
      <c r="B762" s="69" t="s">
        <v>632</v>
      </c>
      <c r="C762" s="15"/>
      <c r="D762" s="242"/>
      <c r="E762" s="15" t="s">
        <v>13</v>
      </c>
      <c r="F762" s="37">
        <f>F761+100</f>
        <v>300</v>
      </c>
      <c r="G762" s="314">
        <f t="shared" si="300"/>
        <v>60</v>
      </c>
      <c r="H762" s="28" t="s">
        <v>68</v>
      </c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15"/>
      <c r="T762" s="7" t="s">
        <v>493</v>
      </c>
      <c r="U762" s="308"/>
      <c r="V762" s="92"/>
      <c r="W762" s="13">
        <f>130*rentFact</f>
        <v>143</v>
      </c>
      <c r="X762" s="110">
        <f t="shared" si="301"/>
        <v>0</v>
      </c>
      <c r="Y762" s="110">
        <f t="shared" si="302"/>
        <v>0</v>
      </c>
      <c r="Z762" s="110">
        <f t="shared" si="303"/>
        <v>0</v>
      </c>
      <c r="AA762" s="110">
        <f t="shared" si="304"/>
        <v>0</v>
      </c>
      <c r="AB762" s="110">
        <f t="shared" si="305"/>
        <v>0</v>
      </c>
      <c r="AC762" s="386" t="s">
        <v>163</v>
      </c>
      <c r="AD762" s="386" t="s">
        <v>176</v>
      </c>
      <c r="AE762" s="386"/>
      <c r="AF762" s="386"/>
    </row>
    <row r="763" spans="1:32" hidden="1" x14ac:dyDescent="0.2">
      <c r="A763" s="14" t="str">
        <f>+IF(AB763&lt;&gt;0,"X","")</f>
        <v/>
      </c>
      <c r="B763" s="69" t="s">
        <v>633</v>
      </c>
      <c r="C763" s="15"/>
      <c r="D763" s="242"/>
      <c r="E763" s="15" t="s">
        <v>13</v>
      </c>
      <c r="F763" s="37">
        <f t="shared" ref="F763:F765" si="306">F762+100</f>
        <v>400</v>
      </c>
      <c r="G763" s="314">
        <f t="shared" si="300"/>
        <v>60</v>
      </c>
      <c r="H763" s="28" t="s">
        <v>68</v>
      </c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15"/>
      <c r="T763" s="7" t="s">
        <v>493</v>
      </c>
      <c r="U763" s="308"/>
      <c r="V763" s="92"/>
      <c r="W763" s="13">
        <f>205*rentFact</f>
        <v>225.50000000000003</v>
      </c>
      <c r="X763" s="110">
        <f t="shared" si="301"/>
        <v>0</v>
      </c>
      <c r="Y763" s="110">
        <f t="shared" si="302"/>
        <v>0</v>
      </c>
      <c r="Z763" s="110">
        <f t="shared" si="303"/>
        <v>0</v>
      </c>
      <c r="AA763" s="110">
        <f t="shared" si="304"/>
        <v>0</v>
      </c>
      <c r="AB763" s="110">
        <f t="shared" si="305"/>
        <v>0</v>
      </c>
      <c r="AC763" s="386" t="s">
        <v>163</v>
      </c>
      <c r="AD763" s="386" t="s">
        <v>176</v>
      </c>
      <c r="AE763" s="386"/>
      <c r="AF763" s="386"/>
    </row>
    <row r="764" spans="1:32" hidden="1" x14ac:dyDescent="0.2">
      <c r="A764" s="14" t="str">
        <f t="shared" ref="A764" si="307">+IF(AB764&lt;&gt;0,"X","")</f>
        <v/>
      </c>
      <c r="B764" s="69" t="s">
        <v>634</v>
      </c>
      <c r="C764" s="15"/>
      <c r="D764" s="242"/>
      <c r="E764" s="15" t="s">
        <v>13</v>
      </c>
      <c r="F764" s="37">
        <f t="shared" si="306"/>
        <v>500</v>
      </c>
      <c r="G764" s="314">
        <f t="shared" si="300"/>
        <v>60</v>
      </c>
      <c r="H764" s="28" t="s">
        <v>68</v>
      </c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15"/>
      <c r="T764" s="7" t="s">
        <v>493</v>
      </c>
      <c r="U764" s="308"/>
      <c r="V764" s="92"/>
      <c r="W764" s="13">
        <f>470*rentFact</f>
        <v>517</v>
      </c>
      <c r="X764" s="110">
        <f t="shared" si="301"/>
        <v>0</v>
      </c>
      <c r="Y764" s="110">
        <f t="shared" si="302"/>
        <v>0</v>
      </c>
      <c r="Z764" s="110">
        <f t="shared" si="303"/>
        <v>0</v>
      </c>
      <c r="AA764" s="110">
        <f t="shared" si="304"/>
        <v>0</v>
      </c>
      <c r="AB764" s="110">
        <f t="shared" si="305"/>
        <v>0</v>
      </c>
      <c r="AC764" s="386" t="s">
        <v>163</v>
      </c>
      <c r="AD764" s="386" t="s">
        <v>176</v>
      </c>
      <c r="AE764" s="386"/>
      <c r="AF764" s="386"/>
    </row>
    <row r="765" spans="1:32" hidden="1" x14ac:dyDescent="0.2">
      <c r="A765" s="14" t="str">
        <f t="shared" si="245"/>
        <v/>
      </c>
      <c r="B765" s="69" t="s">
        <v>635</v>
      </c>
      <c r="C765" s="15"/>
      <c r="D765" s="242"/>
      <c r="E765" s="15" t="s">
        <v>13</v>
      </c>
      <c r="F765" s="37">
        <f t="shared" si="306"/>
        <v>600</v>
      </c>
      <c r="G765" s="314">
        <f t="shared" si="300"/>
        <v>60</v>
      </c>
      <c r="H765" s="28" t="s">
        <v>68</v>
      </c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15"/>
      <c r="T765" s="7" t="s">
        <v>493</v>
      </c>
      <c r="U765" s="308"/>
      <c r="V765" s="92"/>
      <c r="W765" s="13">
        <f>570*rentFact</f>
        <v>627</v>
      </c>
      <c r="X765" s="110">
        <f t="shared" si="301"/>
        <v>0</v>
      </c>
      <c r="Y765" s="110">
        <f t="shared" si="302"/>
        <v>0</v>
      </c>
      <c r="Z765" s="110">
        <f t="shared" si="303"/>
        <v>0</v>
      </c>
      <c r="AA765" s="110">
        <f t="shared" si="304"/>
        <v>0</v>
      </c>
      <c r="AB765" s="110">
        <f t="shared" si="246"/>
        <v>0</v>
      </c>
      <c r="AC765" s="386" t="s">
        <v>163</v>
      </c>
      <c r="AD765" s="386" t="s">
        <v>176</v>
      </c>
      <c r="AE765" s="386"/>
      <c r="AF765" s="386"/>
    </row>
    <row r="766" spans="1:32" hidden="1" x14ac:dyDescent="0.2">
      <c r="A766" s="14" t="str">
        <f t="shared" ref="A766" si="308">+IF(AB766&lt;&gt;0,"X","")</f>
        <v/>
      </c>
      <c r="B766" s="69" t="s">
        <v>636</v>
      </c>
      <c r="C766" s="15"/>
      <c r="D766" s="242"/>
      <c r="E766" s="15" t="s">
        <v>13</v>
      </c>
      <c r="F766" s="37">
        <v>800</v>
      </c>
      <c r="G766" s="314">
        <f t="shared" si="300"/>
        <v>60</v>
      </c>
      <c r="H766" s="28" t="s">
        <v>68</v>
      </c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15"/>
      <c r="T766" s="7" t="s">
        <v>493</v>
      </c>
      <c r="U766" s="308"/>
      <c r="V766" s="92"/>
      <c r="W766" s="13">
        <f>990*rentFact</f>
        <v>1089</v>
      </c>
      <c r="X766" s="110">
        <f t="shared" si="301"/>
        <v>0</v>
      </c>
      <c r="Y766" s="110">
        <f t="shared" si="302"/>
        <v>0</v>
      </c>
      <c r="Z766" s="110">
        <f t="shared" si="303"/>
        <v>0</v>
      </c>
      <c r="AA766" s="110">
        <f t="shared" si="304"/>
        <v>0</v>
      </c>
      <c r="AB766" s="110">
        <f t="shared" ref="AB766" si="309">SUM(X766:AA766)</f>
        <v>0</v>
      </c>
      <c r="AC766" s="386" t="s">
        <v>163</v>
      </c>
      <c r="AD766" s="386" t="s">
        <v>176</v>
      </c>
      <c r="AE766" s="386"/>
      <c r="AF766" s="386"/>
    </row>
    <row r="767" spans="1:32" hidden="1" x14ac:dyDescent="0.2">
      <c r="A767" s="14" t="str">
        <f t="shared" si="245"/>
        <v/>
      </c>
      <c r="B767" s="69" t="s">
        <v>343</v>
      </c>
      <c r="C767" s="15"/>
      <c r="D767" s="242"/>
      <c r="E767" s="15">
        <v>6</v>
      </c>
      <c r="F767" s="37">
        <v>300</v>
      </c>
      <c r="G767" s="32">
        <f>sch_Mech_Mo</f>
        <v>2.8000000000000003</v>
      </c>
      <c r="H767" s="28" t="s">
        <v>68</v>
      </c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15"/>
      <c r="T767" s="7" t="s">
        <v>493</v>
      </c>
      <c r="U767" s="308"/>
      <c r="V767" s="92"/>
      <c r="W767" s="13">
        <f>1730*rentFact</f>
        <v>1903.0000000000002</v>
      </c>
      <c r="X767" s="110">
        <f t="shared" si="301"/>
        <v>0</v>
      </c>
      <c r="Y767" s="110">
        <f t="shared" si="302"/>
        <v>0</v>
      </c>
      <c r="Z767" s="110">
        <f t="shared" si="303"/>
        <v>0</v>
      </c>
      <c r="AA767" s="110">
        <f t="shared" si="304"/>
        <v>0</v>
      </c>
      <c r="AB767" s="110">
        <f>SUM(X767:AA767)</f>
        <v>0</v>
      </c>
      <c r="AC767" s="386" t="s">
        <v>163</v>
      </c>
      <c r="AD767" s="386" t="s">
        <v>176</v>
      </c>
      <c r="AE767" s="386"/>
      <c r="AF767" s="386"/>
    </row>
    <row r="768" spans="1:32" hidden="1" x14ac:dyDescent="0.2">
      <c r="A768" s="14" t="str">
        <f t="shared" si="245"/>
        <v/>
      </c>
      <c r="B768" s="69" t="s">
        <v>344</v>
      </c>
      <c r="C768" s="15"/>
      <c r="D768" s="242"/>
      <c r="E768" s="15" t="s">
        <v>13</v>
      </c>
      <c r="F768" s="37"/>
      <c r="G768" s="32">
        <f>sch_Mech_Mo</f>
        <v>2.8000000000000003</v>
      </c>
      <c r="H768" s="28" t="s">
        <v>68</v>
      </c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15">
        <v>1</v>
      </c>
      <c r="T768" s="7" t="s">
        <v>493</v>
      </c>
      <c r="U768" s="308"/>
      <c r="V768" s="92"/>
      <c r="W768" s="87"/>
      <c r="X768" s="110">
        <f t="shared" si="301"/>
        <v>0</v>
      </c>
      <c r="Y768" s="110">
        <f t="shared" si="302"/>
        <v>0</v>
      </c>
      <c r="Z768" s="110">
        <f t="shared" si="303"/>
        <v>0</v>
      </c>
      <c r="AA768" s="110">
        <f t="shared" si="304"/>
        <v>0</v>
      </c>
      <c r="AB768" s="110">
        <f>SUM(X768:AA768)</f>
        <v>0</v>
      </c>
      <c r="AC768" s="386" t="s">
        <v>163</v>
      </c>
      <c r="AD768" s="386" t="s">
        <v>176</v>
      </c>
      <c r="AE768" s="386"/>
      <c r="AF768" s="386"/>
    </row>
    <row r="769" spans="1:32" hidden="1" x14ac:dyDescent="0.2">
      <c r="A769" s="14" t="str">
        <f t="shared" si="245"/>
        <v/>
      </c>
      <c r="B769" s="69" t="s">
        <v>345</v>
      </c>
      <c r="C769" s="15"/>
      <c r="D769" s="242"/>
      <c r="E769" s="15" t="s">
        <v>13</v>
      </c>
      <c r="F769" s="37"/>
      <c r="G769" s="32">
        <f>sch_Mech_Mo</f>
        <v>2.8000000000000003</v>
      </c>
      <c r="H769" s="28" t="s">
        <v>68</v>
      </c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15">
        <v>1</v>
      </c>
      <c r="T769" s="7" t="s">
        <v>493</v>
      </c>
      <c r="U769" s="308"/>
      <c r="V769" s="92"/>
      <c r="W769" s="87"/>
      <c r="X769" s="110">
        <f t="shared" si="301"/>
        <v>0</v>
      </c>
      <c r="Y769" s="110">
        <f t="shared" si="302"/>
        <v>0</v>
      </c>
      <c r="Z769" s="110">
        <f t="shared" si="303"/>
        <v>0</v>
      </c>
      <c r="AA769" s="110">
        <f t="shared" si="304"/>
        <v>0</v>
      </c>
      <c r="AB769" s="110">
        <f>SUM(X769:AA769)</f>
        <v>0</v>
      </c>
      <c r="AC769" s="386" t="s">
        <v>163</v>
      </c>
      <c r="AD769" s="386" t="s">
        <v>176</v>
      </c>
      <c r="AE769" s="386"/>
      <c r="AF769" s="386"/>
    </row>
    <row r="770" spans="1:32" hidden="1" x14ac:dyDescent="0.2">
      <c r="A770" s="14" t="str">
        <f t="shared" si="245"/>
        <v/>
      </c>
      <c r="B770" s="69" t="s">
        <v>346</v>
      </c>
      <c r="C770" s="15"/>
      <c r="D770" s="242"/>
      <c r="E770" s="15" t="s">
        <v>13</v>
      </c>
      <c r="F770" s="37"/>
      <c r="G770" s="32">
        <f>sch_Mech_Mo</f>
        <v>2.8000000000000003</v>
      </c>
      <c r="H770" s="28" t="s">
        <v>68</v>
      </c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15">
        <v>1</v>
      </c>
      <c r="T770" s="7" t="s">
        <v>493</v>
      </c>
      <c r="U770" s="308"/>
      <c r="V770" s="92"/>
      <c r="W770" s="87"/>
      <c r="X770" s="110">
        <f t="shared" si="301"/>
        <v>0</v>
      </c>
      <c r="Y770" s="110">
        <f t="shared" si="302"/>
        <v>0</v>
      </c>
      <c r="Z770" s="110">
        <f t="shared" si="303"/>
        <v>0</v>
      </c>
      <c r="AA770" s="110">
        <f t="shared" si="304"/>
        <v>0</v>
      </c>
      <c r="AB770" s="110">
        <f>SUM(X770:AA770)</f>
        <v>0</v>
      </c>
      <c r="AC770" s="386" t="s">
        <v>163</v>
      </c>
      <c r="AD770" s="386" t="s">
        <v>176</v>
      </c>
      <c r="AE770" s="386"/>
      <c r="AF770" s="386"/>
    </row>
    <row r="771" spans="1:32" x14ac:dyDescent="0.2">
      <c r="A771" s="14" t="str">
        <f t="shared" si="245"/>
        <v>X</v>
      </c>
      <c r="B771" s="69" t="s">
        <v>347</v>
      </c>
      <c r="C771" s="15" t="s">
        <v>796</v>
      </c>
      <c r="D771" s="242"/>
      <c r="E771" s="15" t="s">
        <v>13</v>
      </c>
      <c r="F771" s="37" t="s">
        <v>13</v>
      </c>
      <c r="G771" s="32">
        <v>1</v>
      </c>
      <c r="H771" s="28" t="s">
        <v>68</v>
      </c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15">
        <v>1</v>
      </c>
      <c r="T771" s="7" t="s">
        <v>493</v>
      </c>
      <c r="U771" s="308"/>
      <c r="V771" s="92"/>
      <c r="W771" s="13">
        <f>ROUNDUP(SUMPRODUCT(F666:F770,S666:S770),0)</f>
        <v>200</v>
      </c>
      <c r="X771" s="110">
        <f t="shared" si="301"/>
        <v>0</v>
      </c>
      <c r="Y771" s="110">
        <f t="shared" si="302"/>
        <v>0</v>
      </c>
      <c r="Z771" s="110">
        <f t="shared" si="303"/>
        <v>0</v>
      </c>
      <c r="AA771" s="110">
        <f t="shared" si="304"/>
        <v>200</v>
      </c>
      <c r="AB771" s="110">
        <f t="shared" si="246"/>
        <v>200</v>
      </c>
      <c r="AC771" s="386" t="s">
        <v>163</v>
      </c>
      <c r="AD771" s="386" t="s">
        <v>176</v>
      </c>
      <c r="AE771" s="386"/>
      <c r="AF771" s="386"/>
    </row>
    <row r="772" spans="1:32" hidden="1" x14ac:dyDescent="0.2">
      <c r="A772" s="14" t="str">
        <f t="shared" si="245"/>
        <v/>
      </c>
      <c r="B772" s="71" t="s">
        <v>348</v>
      </c>
      <c r="C772" s="15"/>
      <c r="D772" s="242"/>
      <c r="E772" s="20"/>
      <c r="F772" s="21"/>
      <c r="G772" s="32">
        <v>1</v>
      </c>
      <c r="H772" s="28" t="s">
        <v>68</v>
      </c>
      <c r="I772" s="394"/>
      <c r="J772" s="394"/>
      <c r="K772" s="394"/>
      <c r="L772" s="394"/>
      <c r="M772" s="394"/>
      <c r="N772" s="394"/>
      <c r="O772" s="394"/>
      <c r="P772" s="394"/>
      <c r="Q772" s="394"/>
      <c r="R772" s="394"/>
      <c r="S772" s="28">
        <v>0</v>
      </c>
      <c r="T772" s="7" t="s">
        <v>59</v>
      </c>
      <c r="U772" s="308"/>
      <c r="V772" s="92"/>
      <c r="W772" s="77">
        <f>ROUNDUP(SUM(AA685:AA770),0)</f>
        <v>7608</v>
      </c>
      <c r="X772" s="114">
        <f t="shared" si="301"/>
        <v>0</v>
      </c>
      <c r="Y772" s="114">
        <f t="shared" si="302"/>
        <v>0</v>
      </c>
      <c r="Z772" s="114">
        <f t="shared" si="303"/>
        <v>0</v>
      </c>
      <c r="AA772" s="114">
        <f t="shared" si="304"/>
        <v>0</v>
      </c>
      <c r="AB772" s="114">
        <f t="shared" si="246"/>
        <v>0</v>
      </c>
      <c r="AC772" s="386" t="s">
        <v>163</v>
      </c>
      <c r="AD772" s="386" t="s">
        <v>176</v>
      </c>
      <c r="AE772" s="386"/>
      <c r="AF772" s="386"/>
    </row>
    <row r="773" spans="1:32" hidden="1" x14ac:dyDescent="0.2">
      <c r="A773" s="14" t="str">
        <f t="shared" si="245"/>
        <v/>
      </c>
      <c r="B773" s="69" t="s">
        <v>349</v>
      </c>
      <c r="C773" s="15"/>
      <c r="D773" s="242"/>
      <c r="E773" s="20"/>
      <c r="F773" s="21"/>
      <c r="G773" s="85"/>
      <c r="H773" s="28" t="s">
        <v>68</v>
      </c>
      <c r="I773" s="27"/>
      <c r="J773" s="27"/>
      <c r="K773" s="27"/>
      <c r="L773" s="27"/>
      <c r="M773" s="27"/>
      <c r="N773" s="27"/>
      <c r="O773" s="27"/>
      <c r="P773" s="27"/>
      <c r="Q773" s="27"/>
      <c r="R773" s="27"/>
      <c r="S773" s="30"/>
      <c r="T773" s="7" t="s">
        <v>493</v>
      </c>
      <c r="U773" s="308"/>
      <c r="V773" s="92"/>
      <c r="W773" s="13">
        <v>150</v>
      </c>
      <c r="X773" s="110">
        <f t="shared" si="301"/>
        <v>0</v>
      </c>
      <c r="Y773" s="110">
        <f t="shared" si="302"/>
        <v>0</v>
      </c>
      <c r="Z773" s="110">
        <f t="shared" si="303"/>
        <v>0</v>
      </c>
      <c r="AA773" s="110">
        <f t="shared" si="304"/>
        <v>0</v>
      </c>
      <c r="AB773" s="110">
        <f t="shared" si="246"/>
        <v>0</v>
      </c>
      <c r="AC773" s="386" t="s">
        <v>163</v>
      </c>
      <c r="AD773" s="386" t="s">
        <v>176</v>
      </c>
      <c r="AE773" s="386"/>
      <c r="AF773" s="386"/>
    </row>
    <row r="774" spans="1:32" x14ac:dyDescent="0.2">
      <c r="A774" s="14" t="str">
        <f t="shared" si="245"/>
        <v>X</v>
      </c>
      <c r="B774" s="69" t="s">
        <v>350</v>
      </c>
      <c r="C774" s="15" t="s">
        <v>796</v>
      </c>
      <c r="D774" s="242"/>
      <c r="E774" s="20"/>
      <c r="F774" s="21"/>
      <c r="G774" s="80">
        <v>1</v>
      </c>
      <c r="H774" s="28" t="s">
        <v>68</v>
      </c>
      <c r="I774" s="40"/>
      <c r="J774" s="40"/>
      <c r="K774" s="40"/>
      <c r="L774" s="40"/>
      <c r="M774" s="40"/>
      <c r="N774" s="40"/>
      <c r="O774" s="40"/>
      <c r="P774" s="40"/>
      <c r="Q774" s="40"/>
      <c r="R774" s="40"/>
      <c r="S774" s="40">
        <f>SUMPRODUCT(E665:E770,S665:S770,G665:G770)*S776</f>
        <v>364.00000000000006</v>
      </c>
      <c r="T774" s="7" t="s">
        <v>501</v>
      </c>
      <c r="U774" s="308"/>
      <c r="V774" s="92"/>
      <c r="W774" s="35">
        <v>4.7</v>
      </c>
      <c r="X774" s="110">
        <f t="shared" si="301"/>
        <v>0</v>
      </c>
      <c r="Y774" s="110">
        <f t="shared" si="302"/>
        <v>0</v>
      </c>
      <c r="Z774" s="110">
        <f t="shared" si="303"/>
        <v>0</v>
      </c>
      <c r="AA774" s="110">
        <f t="shared" si="304"/>
        <v>1710.8000000000004</v>
      </c>
      <c r="AB774" s="110">
        <f t="shared" si="246"/>
        <v>1710.8000000000004</v>
      </c>
      <c r="AC774" s="386" t="s">
        <v>163</v>
      </c>
      <c r="AD774" s="386" t="s">
        <v>177</v>
      </c>
      <c r="AE774" s="386"/>
      <c r="AF774" s="386"/>
    </row>
    <row r="775" spans="1:32" hidden="1" x14ac:dyDescent="0.2">
      <c r="A775" s="14" t="str">
        <f t="shared" si="245"/>
        <v/>
      </c>
      <c r="B775" s="71" t="s">
        <v>351</v>
      </c>
      <c r="C775" s="15"/>
      <c r="D775" s="242"/>
      <c r="E775" s="20"/>
      <c r="F775" s="28"/>
      <c r="G775" s="80">
        <v>1</v>
      </c>
      <c r="H775" s="28" t="s">
        <v>68</v>
      </c>
      <c r="I775" s="40"/>
      <c r="J775" s="40"/>
      <c r="K775" s="40"/>
      <c r="L775" s="40"/>
      <c r="M775" s="40"/>
      <c r="N775" s="40"/>
      <c r="O775" s="40"/>
      <c r="P775" s="40"/>
      <c r="Q775" s="40"/>
      <c r="R775" s="40"/>
      <c r="S775" s="40">
        <f>S774*F775</f>
        <v>0</v>
      </c>
      <c r="T775" s="7" t="s">
        <v>501</v>
      </c>
      <c r="U775" s="308"/>
      <c r="V775" s="92"/>
      <c r="W775" s="35">
        <v>4.7</v>
      </c>
      <c r="X775" s="114">
        <f t="shared" si="301"/>
        <v>0</v>
      </c>
      <c r="Y775" s="114">
        <f t="shared" si="302"/>
        <v>0</v>
      </c>
      <c r="Z775" s="114">
        <f t="shared" si="303"/>
        <v>0</v>
      </c>
      <c r="AA775" s="110">
        <f t="shared" si="304"/>
        <v>0</v>
      </c>
      <c r="AB775" s="114">
        <f t="shared" si="246"/>
        <v>0</v>
      </c>
      <c r="AC775" s="386" t="s">
        <v>163</v>
      </c>
      <c r="AD775" s="386" t="s">
        <v>177</v>
      </c>
      <c r="AE775" s="386"/>
      <c r="AF775" s="386"/>
    </row>
    <row r="776" spans="1:32" x14ac:dyDescent="0.2">
      <c r="A776" s="14" t="s">
        <v>5</v>
      </c>
      <c r="B776" s="69" t="s">
        <v>352</v>
      </c>
      <c r="C776" s="256" t="s">
        <v>13</v>
      </c>
      <c r="D776" s="242"/>
      <c r="E776" s="20"/>
      <c r="F776" s="21"/>
      <c r="G776" s="85"/>
      <c r="H776" s="253"/>
      <c r="I776" s="89"/>
      <c r="J776" s="89"/>
      <c r="K776" s="89"/>
      <c r="L776" s="89"/>
      <c r="M776" s="89"/>
      <c r="N776" s="89"/>
      <c r="O776" s="89"/>
      <c r="P776" s="89"/>
      <c r="Q776" s="89"/>
      <c r="R776" s="89"/>
      <c r="S776" s="32">
        <f>S828*52/12</f>
        <v>21.666666666666668</v>
      </c>
      <c r="T776" s="7" t="s">
        <v>115</v>
      </c>
      <c r="U776" s="308"/>
      <c r="V776" s="92"/>
      <c r="W776" s="13"/>
      <c r="X776" s="110">
        <f t="shared" si="301"/>
        <v>0</v>
      </c>
      <c r="Y776" s="110">
        <f t="shared" si="302"/>
        <v>0</v>
      </c>
      <c r="Z776" s="110">
        <f t="shared" si="303"/>
        <v>0</v>
      </c>
      <c r="AA776" s="110">
        <f t="shared" si="304"/>
        <v>0</v>
      </c>
      <c r="AB776" s="110"/>
      <c r="AC776" s="42"/>
      <c r="AD776" s="42"/>
      <c r="AE776" s="42"/>
      <c r="AF776" s="42"/>
    </row>
    <row r="777" spans="1:32" x14ac:dyDescent="0.2">
      <c r="A777" s="14" t="str">
        <f>+IF(SUM(F778:F780)&lt;&gt;0,"X","")</f>
        <v>X</v>
      </c>
      <c r="B777" s="73" t="s">
        <v>353</v>
      </c>
      <c r="C777" s="85" t="s">
        <v>13</v>
      </c>
      <c r="D777" s="242"/>
      <c r="E777" s="41"/>
      <c r="F777" s="42" t="s">
        <v>52</v>
      </c>
      <c r="G777" s="253" t="s">
        <v>610</v>
      </c>
      <c r="H777" s="253"/>
      <c r="I777" s="395"/>
      <c r="J777" s="85"/>
      <c r="K777" s="85"/>
      <c r="L777" s="85"/>
      <c r="M777" s="85"/>
      <c r="N777" s="85"/>
      <c r="O777" s="85"/>
      <c r="P777" s="85"/>
      <c r="Q777" s="85"/>
      <c r="R777" s="85"/>
      <c r="S777" s="85"/>
      <c r="T777" s="311"/>
      <c r="U777" s="309"/>
      <c r="V777" s="310"/>
      <c r="W777" s="312"/>
      <c r="X777" s="117">
        <f t="shared" si="301"/>
        <v>0</v>
      </c>
      <c r="Y777" s="117">
        <f t="shared" si="302"/>
        <v>0</v>
      </c>
      <c r="Z777" s="117">
        <f t="shared" si="303"/>
        <v>0</v>
      </c>
      <c r="AA777" s="117">
        <f t="shared" si="304"/>
        <v>0</v>
      </c>
      <c r="AB777" s="118"/>
      <c r="AC777" s="42"/>
      <c r="AD777" s="42"/>
      <c r="AE777" s="42"/>
      <c r="AF777" s="42"/>
    </row>
    <row r="778" spans="1:32" hidden="1" x14ac:dyDescent="0.2">
      <c r="A778" s="14" t="str">
        <f>+IF(F778&lt;&gt;0,"X","")</f>
        <v/>
      </c>
      <c r="B778" s="74" t="s">
        <v>354</v>
      </c>
      <c r="C778" s="85" t="s">
        <v>13</v>
      </c>
      <c r="D778" s="242"/>
      <c r="E778" s="41"/>
      <c r="F778" s="44">
        <f>SUM(AB665:AB683)</f>
        <v>0</v>
      </c>
      <c r="G778" s="254">
        <f>IFERROR(F778/$C$922,0)</f>
        <v>0</v>
      </c>
      <c r="H778" s="254"/>
      <c r="I778" s="395"/>
      <c r="J778" s="85"/>
      <c r="K778" s="85"/>
      <c r="L778" s="85"/>
      <c r="M778" s="85"/>
      <c r="N778" s="85"/>
      <c r="O778" s="85"/>
      <c r="P778" s="85"/>
      <c r="Q778" s="85"/>
      <c r="R778" s="85"/>
      <c r="S778" s="85"/>
      <c r="T778" s="311"/>
      <c r="U778" s="309"/>
      <c r="V778" s="310"/>
      <c r="W778" s="312"/>
      <c r="X778" s="117">
        <f t="shared" si="301"/>
        <v>0</v>
      </c>
      <c r="Y778" s="117">
        <f t="shared" si="302"/>
        <v>0</v>
      </c>
      <c r="Z778" s="117">
        <f t="shared" si="303"/>
        <v>0</v>
      </c>
      <c r="AA778" s="117">
        <f t="shared" si="304"/>
        <v>0</v>
      </c>
      <c r="AB778" s="118"/>
      <c r="AC778" s="396"/>
      <c r="AD778" s="396"/>
      <c r="AE778" s="396"/>
      <c r="AF778" s="396"/>
    </row>
    <row r="779" spans="1:32" x14ac:dyDescent="0.2">
      <c r="A779" s="14" t="str">
        <f>+IF(F779&lt;&gt;0,"X","")</f>
        <v>X</v>
      </c>
      <c r="B779" s="74" t="s">
        <v>315</v>
      </c>
      <c r="C779" s="85" t="s">
        <v>13</v>
      </c>
      <c r="D779" s="242"/>
      <c r="E779" s="41"/>
      <c r="F779" s="44">
        <f>SUM(AB685:AB773)</f>
        <v>7807.6</v>
      </c>
      <c r="G779" s="254">
        <f>IFERROR(F779/$C$922,0)</f>
        <v>1.9681495345950002</v>
      </c>
      <c r="H779" s="254"/>
      <c r="I779" s="395"/>
      <c r="J779" s="85"/>
      <c r="K779" s="85"/>
      <c r="L779" s="85"/>
      <c r="M779" s="85"/>
      <c r="N779" s="85"/>
      <c r="O779" s="85"/>
      <c r="P779" s="85"/>
      <c r="Q779" s="85"/>
      <c r="R779" s="85"/>
      <c r="S779" s="85"/>
      <c r="T779" s="311"/>
      <c r="U779" s="309"/>
      <c r="V779" s="310"/>
      <c r="W779" s="312"/>
      <c r="X779" s="117">
        <f t="shared" si="301"/>
        <v>0</v>
      </c>
      <c r="Y779" s="117">
        <f t="shared" si="302"/>
        <v>0</v>
      </c>
      <c r="Z779" s="117">
        <f t="shared" si="303"/>
        <v>0</v>
      </c>
      <c r="AA779" s="117">
        <f t="shared" si="304"/>
        <v>0</v>
      </c>
      <c r="AB779" s="118"/>
      <c r="AC779" s="396"/>
      <c r="AD779" s="396"/>
      <c r="AE779" s="396"/>
      <c r="AF779" s="396"/>
    </row>
    <row r="780" spans="1:32" ht="13.5" thickBot="1" x14ac:dyDescent="0.25">
      <c r="A780" s="14" t="str">
        <f>+IF(F780&lt;&gt;0,"X","")</f>
        <v>X</v>
      </c>
      <c r="B780" s="74" t="s">
        <v>355</v>
      </c>
      <c r="C780" s="85" t="s">
        <v>13</v>
      </c>
      <c r="D780" s="242"/>
      <c r="E780" s="41"/>
      <c r="F780" s="44">
        <f>SUM(AB774:AB775)</f>
        <v>1710.8000000000004</v>
      </c>
      <c r="G780" s="254">
        <f>IFERROR(F780/$C$922,0)</f>
        <v>0.43126059528986205</v>
      </c>
      <c r="H780" s="254"/>
      <c r="I780" s="397"/>
      <c r="J780" s="85"/>
      <c r="K780" s="85"/>
      <c r="L780" s="85"/>
      <c r="M780" s="85"/>
      <c r="N780" s="85"/>
      <c r="O780" s="85"/>
      <c r="P780" s="85"/>
      <c r="Q780" s="85"/>
      <c r="R780" s="85"/>
      <c r="S780" s="85"/>
      <c r="T780" s="311"/>
      <c r="U780" s="309"/>
      <c r="V780" s="310"/>
      <c r="W780" s="312"/>
      <c r="X780" s="117">
        <f t="shared" si="301"/>
        <v>0</v>
      </c>
      <c r="Y780" s="117">
        <f t="shared" si="302"/>
        <v>0</v>
      </c>
      <c r="Z780" s="117">
        <f t="shared" si="303"/>
        <v>0</v>
      </c>
      <c r="AA780" s="117">
        <f t="shared" si="304"/>
        <v>0</v>
      </c>
      <c r="AB780" s="118"/>
      <c r="AC780" s="396"/>
      <c r="AD780" s="396"/>
      <c r="AE780" s="396"/>
      <c r="AF780" s="396"/>
    </row>
    <row r="781" spans="1:32" ht="13.5" hidden="1" thickBot="1" x14ac:dyDescent="0.25">
      <c r="A781" s="14" t="str">
        <f>IF(SUM(AB782:AB782)&lt;&gt;0,"X","")</f>
        <v/>
      </c>
      <c r="B781" s="198" t="s">
        <v>356</v>
      </c>
      <c r="C781" s="200" t="s">
        <v>13</v>
      </c>
      <c r="D781" s="239"/>
      <c r="E781" s="199"/>
      <c r="F781" s="199" t="s">
        <v>51</v>
      </c>
      <c r="G781" s="199" t="s">
        <v>21</v>
      </c>
      <c r="H781" s="199"/>
      <c r="I781" s="199"/>
      <c r="J781" s="199"/>
      <c r="K781" s="199"/>
      <c r="L781" s="199"/>
      <c r="M781" s="199"/>
      <c r="N781" s="199"/>
      <c r="O781" s="199"/>
      <c r="P781" s="199"/>
      <c r="Q781" s="199"/>
      <c r="R781" s="199"/>
      <c r="S781" s="199"/>
      <c r="T781" s="200"/>
      <c r="U781" s="208"/>
      <c r="V781" s="202"/>
      <c r="W781" s="203"/>
      <c r="X781" s="204">
        <f t="shared" si="301"/>
        <v>0</v>
      </c>
      <c r="Y781" s="204">
        <f t="shared" si="302"/>
        <v>0</v>
      </c>
      <c r="Z781" s="204">
        <f t="shared" si="303"/>
        <v>0</v>
      </c>
      <c r="AA781" s="204">
        <f t="shared" si="304"/>
        <v>0</v>
      </c>
      <c r="AB781" s="205">
        <f t="shared" ref="AB781:AB782" si="310">SUM(X781:AA781)</f>
        <v>0</v>
      </c>
      <c r="AC781" s="369"/>
      <c r="AD781" s="369"/>
      <c r="AE781" s="369" t="s">
        <v>13</v>
      </c>
      <c r="AF781" s="369"/>
    </row>
    <row r="782" spans="1:32" ht="13.5" hidden="1" thickBot="1" x14ac:dyDescent="0.25">
      <c r="A782" s="14" t="str">
        <f>+IF(AB782&lt;&gt;0,"X","")</f>
        <v/>
      </c>
      <c r="B782" s="69" t="s">
        <v>357</v>
      </c>
      <c r="C782" s="15"/>
      <c r="D782" s="349">
        <f>Z782/E782</f>
        <v>0</v>
      </c>
      <c r="E782" s="248">
        <v>125</v>
      </c>
      <c r="F782" s="258">
        <v>0</v>
      </c>
      <c r="G782" s="85" t="s">
        <v>594</v>
      </c>
      <c r="H782" s="15" t="s">
        <v>67</v>
      </c>
      <c r="I782" s="379"/>
      <c r="J782" s="381"/>
      <c r="K782" s="381"/>
      <c r="L782" s="381"/>
      <c r="M782" s="381"/>
      <c r="N782" s="381"/>
      <c r="O782" s="381"/>
      <c r="P782" s="381"/>
      <c r="Q782" s="381"/>
      <c r="R782" s="381"/>
      <c r="S782" s="15">
        <v>1</v>
      </c>
      <c r="T782" s="7" t="s">
        <v>491</v>
      </c>
      <c r="U782" s="66"/>
      <c r="V782" s="31"/>
      <c r="W782" s="124">
        <f>SUM(I782:R782)</f>
        <v>0</v>
      </c>
      <c r="X782" s="110">
        <f t="shared" si="301"/>
        <v>0</v>
      </c>
      <c r="Y782" s="110">
        <f t="shared" si="302"/>
        <v>0</v>
      </c>
      <c r="Z782" s="110">
        <f t="shared" si="303"/>
        <v>0</v>
      </c>
      <c r="AA782" s="110">
        <f t="shared" si="304"/>
        <v>0</v>
      </c>
      <c r="AB782" s="110">
        <f t="shared" si="310"/>
        <v>0</v>
      </c>
      <c r="AC782" s="371" t="s">
        <v>163</v>
      </c>
      <c r="AD782" s="371" t="s">
        <v>179</v>
      </c>
      <c r="AE782" s="371" t="s">
        <v>482</v>
      </c>
      <c r="AF782" s="371"/>
    </row>
    <row r="783" spans="1:32" ht="13.5" thickBot="1" x14ac:dyDescent="0.25">
      <c r="A783" s="14" t="str">
        <f>IF(SUM(AB784:AB785)&lt;&gt;0,"X","")</f>
        <v>X</v>
      </c>
      <c r="B783" s="198" t="s">
        <v>358</v>
      </c>
      <c r="C783" s="200" t="s">
        <v>13</v>
      </c>
      <c r="D783" s="239"/>
      <c r="E783" s="199"/>
      <c r="F783" s="199" t="s">
        <v>51</v>
      </c>
      <c r="G783" s="199" t="s">
        <v>21</v>
      </c>
      <c r="H783" s="199"/>
      <c r="I783" s="199"/>
      <c r="J783" s="199"/>
      <c r="K783" s="199"/>
      <c r="L783" s="199"/>
      <c r="M783" s="199"/>
      <c r="N783" s="199"/>
      <c r="O783" s="199"/>
      <c r="P783" s="199"/>
      <c r="Q783" s="199"/>
      <c r="R783" s="199"/>
      <c r="S783" s="199"/>
      <c r="T783" s="200"/>
      <c r="U783" s="208"/>
      <c r="V783" s="202"/>
      <c r="W783" s="203"/>
      <c r="X783" s="204">
        <f t="shared" si="301"/>
        <v>0</v>
      </c>
      <c r="Y783" s="204">
        <f t="shared" si="302"/>
        <v>0</v>
      </c>
      <c r="Z783" s="204">
        <f t="shared" si="303"/>
        <v>0</v>
      </c>
      <c r="AA783" s="204">
        <f t="shared" si="304"/>
        <v>0</v>
      </c>
      <c r="AB783" s="205">
        <f>SUM(X783:AA783)</f>
        <v>0</v>
      </c>
      <c r="AC783" s="369"/>
      <c r="AD783" s="369"/>
      <c r="AE783" s="369" t="s">
        <v>13</v>
      </c>
      <c r="AF783" s="369"/>
    </row>
    <row r="784" spans="1:32" x14ac:dyDescent="0.2">
      <c r="A784" s="14" t="str">
        <f>+IF(AB784&lt;&gt;0,"X","")</f>
        <v>X</v>
      </c>
      <c r="B784" s="70" t="s">
        <v>359</v>
      </c>
      <c r="C784" s="18" t="s">
        <v>741</v>
      </c>
      <c r="D784" s="244"/>
      <c r="E784" s="25"/>
      <c r="F784" s="26"/>
      <c r="G784" s="252">
        <v>1</v>
      </c>
      <c r="H784" s="28" t="s">
        <v>68</v>
      </c>
      <c r="I784" s="394"/>
      <c r="J784" s="394"/>
      <c r="K784" s="394"/>
      <c r="L784" s="394"/>
      <c r="M784" s="394"/>
      <c r="N784" s="394"/>
      <c r="O784" s="394"/>
      <c r="P784" s="394"/>
      <c r="Q784" s="394"/>
      <c r="R784" s="394"/>
      <c r="S784" s="28">
        <v>0.05</v>
      </c>
      <c r="T784" s="19" t="s">
        <v>502</v>
      </c>
      <c r="U784" s="308" t="s">
        <v>13</v>
      </c>
      <c r="V784" s="92" t="s">
        <v>13</v>
      </c>
      <c r="W784" s="12">
        <f>IFERROR(SUM(X3:X782),0)</f>
        <v>106110.51</v>
      </c>
      <c r="X784" s="109">
        <f t="shared" si="301"/>
        <v>0</v>
      </c>
      <c r="Y784" s="109">
        <f t="shared" si="302"/>
        <v>0</v>
      </c>
      <c r="Z784" s="109">
        <f t="shared" si="303"/>
        <v>0</v>
      </c>
      <c r="AA784" s="109">
        <f t="shared" si="304"/>
        <v>5305.5254999999997</v>
      </c>
      <c r="AB784" s="109">
        <f>SUM(X784:AA784)</f>
        <v>5305.5254999999997</v>
      </c>
      <c r="AC784" s="386" t="s">
        <v>163</v>
      </c>
      <c r="AD784" s="386" t="s">
        <v>180</v>
      </c>
      <c r="AE784" s="386"/>
      <c r="AF784" s="386"/>
    </row>
    <row r="785" spans="1:32" x14ac:dyDescent="0.2">
      <c r="A785" s="14" t="str">
        <f>+IF(AB785&lt;&gt;0,"X","")</f>
        <v>X</v>
      </c>
      <c r="B785" s="69" t="s">
        <v>360</v>
      </c>
      <c r="C785" s="15" t="s">
        <v>741</v>
      </c>
      <c r="D785" s="242"/>
      <c r="E785" s="20"/>
      <c r="F785" s="21"/>
      <c r="G785" s="85">
        <v>1</v>
      </c>
      <c r="H785" s="28" t="s">
        <v>68</v>
      </c>
      <c r="I785" s="394"/>
      <c r="J785" s="394"/>
      <c r="K785" s="394"/>
      <c r="L785" s="394"/>
      <c r="M785" s="394"/>
      <c r="N785" s="394"/>
      <c r="O785" s="394"/>
      <c r="P785" s="394"/>
      <c r="Q785" s="394"/>
      <c r="R785" s="394"/>
      <c r="S785" s="28">
        <v>0.05</v>
      </c>
      <c r="T785" s="7" t="s">
        <v>502</v>
      </c>
      <c r="U785" s="308" t="s">
        <v>13</v>
      </c>
      <c r="V785" s="92" t="s">
        <v>13</v>
      </c>
      <c r="W785" s="13">
        <f>IFERROR(SUM(X3:X782),0)</f>
        <v>106110.51</v>
      </c>
      <c r="X785" s="110">
        <f t="shared" si="301"/>
        <v>0</v>
      </c>
      <c r="Y785" s="110">
        <f t="shared" si="302"/>
        <v>0</v>
      </c>
      <c r="Z785" s="110">
        <f t="shared" si="303"/>
        <v>0</v>
      </c>
      <c r="AA785" s="110">
        <f t="shared" si="304"/>
        <v>5305.5254999999997</v>
      </c>
      <c r="AB785" s="110">
        <f>SUM(X785:AA785)</f>
        <v>5305.5254999999997</v>
      </c>
      <c r="AC785" s="386" t="s">
        <v>163</v>
      </c>
      <c r="AD785" s="386" t="s">
        <v>180</v>
      </c>
      <c r="AE785" s="386"/>
      <c r="AF785" s="386"/>
    </row>
    <row r="786" spans="1:32" ht="13.5" hidden="1" thickBot="1" x14ac:dyDescent="0.25">
      <c r="A786" s="14" t="str">
        <f>+IF(SUM(AB787:AB811)&lt;&gt;0,"X","")</f>
        <v/>
      </c>
      <c r="B786" s="198" t="s">
        <v>361</v>
      </c>
      <c r="C786" s="417" t="s">
        <v>13</v>
      </c>
      <c r="D786" s="199"/>
      <c r="E786" s="199" t="s">
        <v>540</v>
      </c>
      <c r="F786" s="199" t="s">
        <v>70</v>
      </c>
      <c r="G786" s="199" t="s">
        <v>611</v>
      </c>
      <c r="H786" s="199"/>
      <c r="I786" s="199"/>
      <c r="J786" s="199"/>
      <c r="K786" s="199"/>
      <c r="L786" s="199"/>
      <c r="M786" s="199"/>
      <c r="N786" s="199"/>
      <c r="O786" s="199"/>
      <c r="P786" s="199"/>
      <c r="Q786" s="199"/>
      <c r="R786" s="199"/>
      <c r="S786" s="199"/>
      <c r="T786" s="200"/>
      <c r="U786" s="208"/>
      <c r="V786" s="202"/>
      <c r="W786" s="203"/>
      <c r="X786" s="204">
        <f t="shared" si="301"/>
        <v>0</v>
      </c>
      <c r="Y786" s="204">
        <f t="shared" si="302"/>
        <v>0</v>
      </c>
      <c r="Z786" s="204">
        <f t="shared" si="303"/>
        <v>0</v>
      </c>
      <c r="AA786" s="204">
        <f t="shared" si="304"/>
        <v>0</v>
      </c>
      <c r="AB786" s="205"/>
      <c r="AC786" s="369"/>
      <c r="AD786" s="369"/>
      <c r="AE786" s="369" t="s">
        <v>13</v>
      </c>
      <c r="AF786" s="369"/>
    </row>
    <row r="787" spans="1:32" hidden="1" x14ac:dyDescent="0.2">
      <c r="A787" s="14" t="str">
        <f t="shared" ref="A787:A811" si="311">+IF(AB787&lt;&gt;0,"X","")</f>
        <v/>
      </c>
      <c r="B787" s="70" t="s">
        <v>362</v>
      </c>
      <c r="C787" s="15"/>
      <c r="D787" s="245"/>
      <c r="E787" s="91"/>
      <c r="F787" s="307">
        <f t="shared" ref="F787:F797" si="312">$D$951</f>
        <v>70</v>
      </c>
      <c r="G787" s="147" t="s">
        <v>20</v>
      </c>
      <c r="H787" s="15" t="s">
        <v>66</v>
      </c>
      <c r="I787" s="398"/>
      <c r="J787" s="92"/>
      <c r="K787" s="92"/>
      <c r="L787" s="92"/>
      <c r="M787" s="92"/>
      <c r="N787" s="92"/>
      <c r="O787" s="92"/>
      <c r="P787" s="92"/>
      <c r="Q787" s="92"/>
      <c r="R787" s="92"/>
      <c r="S787" s="46">
        <f t="shared" ref="S787:S811" si="313">E787*F787*S$829</f>
        <v>0</v>
      </c>
      <c r="T787" s="19" t="s">
        <v>503</v>
      </c>
      <c r="U787" s="190">
        <v>0</v>
      </c>
      <c r="V787" s="92">
        <f t="shared" ref="V787:V811" si="314">S787</f>
        <v>0</v>
      </c>
      <c r="W787" s="123">
        <v>51</v>
      </c>
      <c r="X787" s="109">
        <f t="shared" si="301"/>
        <v>0</v>
      </c>
      <c r="Y787" s="109">
        <f t="shared" si="302"/>
        <v>0</v>
      </c>
      <c r="Z787" s="109">
        <f t="shared" si="303"/>
        <v>0</v>
      </c>
      <c r="AA787" s="109">
        <f t="shared" si="304"/>
        <v>0</v>
      </c>
      <c r="AB787" s="109">
        <f t="shared" ref="AB787:AB804" si="315">SUM(X787:AA787)</f>
        <v>0</v>
      </c>
      <c r="AC787" s="371" t="s">
        <v>163</v>
      </c>
      <c r="AD787" s="371"/>
      <c r="AE787" s="371" t="s">
        <v>181</v>
      </c>
      <c r="AF787" s="371"/>
    </row>
    <row r="788" spans="1:32" hidden="1" x14ac:dyDescent="0.2">
      <c r="A788" s="14" t="str">
        <f t="shared" si="311"/>
        <v/>
      </c>
      <c r="B788" s="70" t="s">
        <v>33</v>
      </c>
      <c r="C788" s="15"/>
      <c r="D788" s="245"/>
      <c r="E788" s="91"/>
      <c r="F788" s="307">
        <f t="shared" si="312"/>
        <v>70</v>
      </c>
      <c r="G788" s="148" t="s">
        <v>69</v>
      </c>
      <c r="H788" s="15" t="s">
        <v>66</v>
      </c>
      <c r="I788" s="92"/>
      <c r="J788" s="92"/>
      <c r="K788" s="92"/>
      <c r="L788" s="92"/>
      <c r="M788" s="92"/>
      <c r="N788" s="92"/>
      <c r="O788" s="92"/>
      <c r="P788" s="92"/>
      <c r="Q788" s="92"/>
      <c r="R788" s="92"/>
      <c r="S788" s="46">
        <f t="shared" si="313"/>
        <v>0</v>
      </c>
      <c r="T788" s="19" t="s">
        <v>503</v>
      </c>
      <c r="U788" s="190">
        <v>0</v>
      </c>
      <c r="V788" s="92">
        <f t="shared" si="314"/>
        <v>0</v>
      </c>
      <c r="W788" s="123">
        <f>Rate!D31</f>
        <v>80</v>
      </c>
      <c r="X788" s="109">
        <f t="shared" si="301"/>
        <v>0</v>
      </c>
      <c r="Y788" s="109">
        <f t="shared" si="302"/>
        <v>0</v>
      </c>
      <c r="Z788" s="109">
        <f t="shared" si="303"/>
        <v>0</v>
      </c>
      <c r="AA788" s="109">
        <f t="shared" si="304"/>
        <v>0</v>
      </c>
      <c r="AB788" s="109">
        <f t="shared" si="315"/>
        <v>0</v>
      </c>
      <c r="AC788" s="371" t="s">
        <v>163</v>
      </c>
      <c r="AD788" s="371"/>
      <c r="AE788" s="371" t="s">
        <v>181</v>
      </c>
      <c r="AF788" s="371"/>
    </row>
    <row r="789" spans="1:32" hidden="1" x14ac:dyDescent="0.2">
      <c r="A789" s="14" t="str">
        <f t="shared" si="311"/>
        <v/>
      </c>
      <c r="B789" s="69" t="s">
        <v>34</v>
      </c>
      <c r="C789" s="15"/>
      <c r="D789" s="245"/>
      <c r="E789" s="91"/>
      <c r="F789" s="307">
        <f t="shared" si="312"/>
        <v>70</v>
      </c>
      <c r="G789" s="148" t="s">
        <v>69</v>
      </c>
      <c r="H789" s="15" t="s">
        <v>66</v>
      </c>
      <c r="I789" s="92"/>
      <c r="J789" s="92"/>
      <c r="K789" s="92"/>
      <c r="L789" s="92"/>
      <c r="M789" s="92"/>
      <c r="N789" s="92"/>
      <c r="O789" s="92"/>
      <c r="P789" s="92"/>
      <c r="Q789" s="92"/>
      <c r="R789" s="92"/>
      <c r="S789" s="46">
        <f t="shared" si="313"/>
        <v>0</v>
      </c>
      <c r="T789" s="7" t="s">
        <v>503</v>
      </c>
      <c r="U789" s="92">
        <v>0</v>
      </c>
      <c r="V789" s="40">
        <f t="shared" si="314"/>
        <v>0</v>
      </c>
      <c r="W789" s="123">
        <f>Rate!D32</f>
        <v>70</v>
      </c>
      <c r="X789" s="109">
        <f t="shared" si="301"/>
        <v>0</v>
      </c>
      <c r="Y789" s="110">
        <f t="shared" si="302"/>
        <v>0</v>
      </c>
      <c r="Z789" s="110">
        <f t="shared" si="303"/>
        <v>0</v>
      </c>
      <c r="AA789" s="110">
        <f t="shared" si="304"/>
        <v>0</v>
      </c>
      <c r="AB789" s="109">
        <f t="shared" si="315"/>
        <v>0</v>
      </c>
      <c r="AC789" s="371" t="s">
        <v>163</v>
      </c>
      <c r="AD789" s="371"/>
      <c r="AE789" s="371" t="s">
        <v>181</v>
      </c>
      <c r="AF789" s="371"/>
    </row>
    <row r="790" spans="1:32" hidden="1" x14ac:dyDescent="0.2">
      <c r="A790" s="14" t="str">
        <f t="shared" si="311"/>
        <v/>
      </c>
      <c r="B790" s="69" t="s">
        <v>35</v>
      </c>
      <c r="C790" s="15"/>
      <c r="D790" s="245"/>
      <c r="E790" s="91"/>
      <c r="F790" s="307">
        <f t="shared" si="312"/>
        <v>70</v>
      </c>
      <c r="G790" s="149" t="s">
        <v>20</v>
      </c>
      <c r="H790" s="15" t="s">
        <v>66</v>
      </c>
      <c r="I790" s="92"/>
      <c r="J790" s="92"/>
      <c r="K790" s="92"/>
      <c r="L790" s="92"/>
      <c r="M790" s="92"/>
      <c r="N790" s="92"/>
      <c r="O790" s="92"/>
      <c r="P790" s="92"/>
      <c r="Q790" s="92"/>
      <c r="R790" s="92"/>
      <c r="S790" s="46">
        <f t="shared" si="313"/>
        <v>0</v>
      </c>
      <c r="T790" s="7" t="s">
        <v>503</v>
      </c>
      <c r="U790" s="191">
        <v>0</v>
      </c>
      <c r="V790" s="40">
        <f t="shared" si="314"/>
        <v>0</v>
      </c>
      <c r="W790" s="123">
        <f>Rate!D33</f>
        <v>85</v>
      </c>
      <c r="X790" s="109">
        <f t="shared" si="301"/>
        <v>0</v>
      </c>
      <c r="Y790" s="110">
        <f t="shared" si="302"/>
        <v>0</v>
      </c>
      <c r="Z790" s="110">
        <f t="shared" si="303"/>
        <v>0</v>
      </c>
      <c r="AA790" s="110">
        <f t="shared" si="304"/>
        <v>0</v>
      </c>
      <c r="AB790" s="109">
        <f t="shared" si="315"/>
        <v>0</v>
      </c>
      <c r="AC790" s="371" t="s">
        <v>163</v>
      </c>
      <c r="AD790" s="371"/>
      <c r="AE790" s="371" t="s">
        <v>181</v>
      </c>
      <c r="AF790" s="371"/>
    </row>
    <row r="791" spans="1:32" hidden="1" x14ac:dyDescent="0.2">
      <c r="A791" s="14" t="str">
        <f t="shared" si="311"/>
        <v/>
      </c>
      <c r="B791" s="69" t="s">
        <v>36</v>
      </c>
      <c r="C791" s="15"/>
      <c r="D791" s="245"/>
      <c r="E791" s="91"/>
      <c r="F791" s="307">
        <f t="shared" si="312"/>
        <v>70</v>
      </c>
      <c r="G791" s="149" t="s">
        <v>20</v>
      </c>
      <c r="H791" s="15" t="s">
        <v>66</v>
      </c>
      <c r="I791" s="92"/>
      <c r="J791" s="92"/>
      <c r="K791" s="92"/>
      <c r="L791" s="92"/>
      <c r="M791" s="92"/>
      <c r="N791" s="92"/>
      <c r="O791" s="92"/>
      <c r="P791" s="92"/>
      <c r="Q791" s="92"/>
      <c r="R791" s="92"/>
      <c r="S791" s="46">
        <f t="shared" si="313"/>
        <v>0</v>
      </c>
      <c r="T791" s="7" t="s">
        <v>503</v>
      </c>
      <c r="U791" s="191">
        <v>0</v>
      </c>
      <c r="V791" s="40">
        <f t="shared" si="314"/>
        <v>0</v>
      </c>
      <c r="W791" s="123">
        <f>Rate!D34</f>
        <v>60</v>
      </c>
      <c r="X791" s="109">
        <f t="shared" si="301"/>
        <v>0</v>
      </c>
      <c r="Y791" s="110">
        <f t="shared" si="302"/>
        <v>0</v>
      </c>
      <c r="Z791" s="110">
        <f t="shared" si="303"/>
        <v>0</v>
      </c>
      <c r="AA791" s="110">
        <f t="shared" si="304"/>
        <v>0</v>
      </c>
      <c r="AB791" s="109">
        <f t="shared" si="315"/>
        <v>0</v>
      </c>
      <c r="AC791" s="371" t="s">
        <v>163</v>
      </c>
      <c r="AD791" s="371"/>
      <c r="AE791" s="371" t="s">
        <v>181</v>
      </c>
      <c r="AF791" s="371"/>
    </row>
    <row r="792" spans="1:32" hidden="1" x14ac:dyDescent="0.2">
      <c r="A792" s="14" t="str">
        <f t="shared" si="311"/>
        <v/>
      </c>
      <c r="B792" s="69" t="s">
        <v>10</v>
      </c>
      <c r="C792" s="15"/>
      <c r="D792" s="245"/>
      <c r="E792" s="91"/>
      <c r="F792" s="307">
        <f t="shared" si="312"/>
        <v>70</v>
      </c>
      <c r="G792" s="149" t="s">
        <v>20</v>
      </c>
      <c r="H792" s="15" t="s">
        <v>66</v>
      </c>
      <c r="I792" s="92"/>
      <c r="J792" s="92"/>
      <c r="K792" s="92"/>
      <c r="L792" s="92"/>
      <c r="M792" s="92"/>
      <c r="N792" s="92"/>
      <c r="O792" s="92"/>
      <c r="P792" s="92"/>
      <c r="Q792" s="92"/>
      <c r="R792" s="92"/>
      <c r="S792" s="46">
        <f t="shared" si="313"/>
        <v>0</v>
      </c>
      <c r="T792" s="7" t="s">
        <v>503</v>
      </c>
      <c r="U792" s="92">
        <v>0</v>
      </c>
      <c r="V792" s="40">
        <f t="shared" si="314"/>
        <v>0</v>
      </c>
      <c r="W792" s="123">
        <f>Rate!D35</f>
        <v>55</v>
      </c>
      <c r="X792" s="109">
        <f t="shared" ref="X792:X824" si="316">IF(H792="L",V792*W792,0)</f>
        <v>0</v>
      </c>
      <c r="Y792" s="110">
        <f t="shared" ref="Y792:Y824" si="317">IF(H792="M",S792*W792,0)</f>
        <v>0</v>
      </c>
      <c r="Z792" s="110">
        <f t="shared" ref="Z792:Z824" si="318">IF(H792="S",S792*W792,0)</f>
        <v>0</v>
      </c>
      <c r="AA792" s="110">
        <f t="shared" ref="AA792:AA824" si="319">IF(H792="E",G792*S792*W792,0)</f>
        <v>0</v>
      </c>
      <c r="AB792" s="109">
        <f t="shared" si="315"/>
        <v>0</v>
      </c>
      <c r="AC792" s="371" t="s">
        <v>163</v>
      </c>
      <c r="AD792" s="371"/>
      <c r="AE792" s="371" t="s">
        <v>181</v>
      </c>
      <c r="AF792" s="371"/>
    </row>
    <row r="793" spans="1:32" hidden="1" x14ac:dyDescent="0.2">
      <c r="A793" s="14" t="str">
        <f t="shared" si="311"/>
        <v/>
      </c>
      <c r="B793" s="69" t="s">
        <v>37</v>
      </c>
      <c r="C793" s="15"/>
      <c r="D793" s="245"/>
      <c r="E793" s="91"/>
      <c r="F793" s="307">
        <f t="shared" si="312"/>
        <v>70</v>
      </c>
      <c r="G793" s="149" t="s">
        <v>20</v>
      </c>
      <c r="H793" s="15" t="s">
        <v>66</v>
      </c>
      <c r="I793" s="92"/>
      <c r="J793" s="92"/>
      <c r="K793" s="92"/>
      <c r="L793" s="92"/>
      <c r="M793" s="92"/>
      <c r="N793" s="92"/>
      <c r="O793" s="92"/>
      <c r="P793" s="92"/>
      <c r="Q793" s="92"/>
      <c r="R793" s="92"/>
      <c r="S793" s="46">
        <f t="shared" si="313"/>
        <v>0</v>
      </c>
      <c r="T793" s="7" t="s">
        <v>503</v>
      </c>
      <c r="U793" s="191">
        <v>0</v>
      </c>
      <c r="V793" s="40">
        <f t="shared" si="314"/>
        <v>0</v>
      </c>
      <c r="W793" s="123">
        <f>Rate!D36</f>
        <v>50</v>
      </c>
      <c r="X793" s="109">
        <f t="shared" si="316"/>
        <v>0</v>
      </c>
      <c r="Y793" s="110">
        <f t="shared" si="317"/>
        <v>0</v>
      </c>
      <c r="Z793" s="110">
        <f t="shared" si="318"/>
        <v>0</v>
      </c>
      <c r="AA793" s="110">
        <f t="shared" si="319"/>
        <v>0</v>
      </c>
      <c r="AB793" s="109">
        <f t="shared" si="315"/>
        <v>0</v>
      </c>
      <c r="AC793" s="371" t="s">
        <v>163</v>
      </c>
      <c r="AD793" s="371"/>
      <c r="AE793" s="371" t="s">
        <v>181</v>
      </c>
      <c r="AF793" s="371"/>
    </row>
    <row r="794" spans="1:32" hidden="1" x14ac:dyDescent="0.2">
      <c r="A794" s="14" t="str">
        <f t="shared" si="311"/>
        <v/>
      </c>
      <c r="B794" s="69" t="s">
        <v>363</v>
      </c>
      <c r="C794" s="15"/>
      <c r="D794" s="245"/>
      <c r="E794" s="91"/>
      <c r="F794" s="307">
        <f t="shared" si="312"/>
        <v>70</v>
      </c>
      <c r="G794" s="149" t="s">
        <v>20</v>
      </c>
      <c r="H794" s="15" t="s">
        <v>66</v>
      </c>
      <c r="I794" s="92"/>
      <c r="J794" s="92"/>
      <c r="K794" s="92"/>
      <c r="L794" s="92"/>
      <c r="M794" s="92"/>
      <c r="N794" s="92"/>
      <c r="O794" s="92"/>
      <c r="P794" s="92"/>
      <c r="Q794" s="92"/>
      <c r="R794" s="92"/>
      <c r="S794" s="46">
        <f t="shared" si="313"/>
        <v>0</v>
      </c>
      <c r="T794" s="7" t="s">
        <v>503</v>
      </c>
      <c r="U794" s="191">
        <v>0</v>
      </c>
      <c r="V794" s="40">
        <f t="shared" si="314"/>
        <v>0</v>
      </c>
      <c r="W794" s="123">
        <f>Rate!D37</f>
        <v>58</v>
      </c>
      <c r="X794" s="109">
        <f t="shared" si="316"/>
        <v>0</v>
      </c>
      <c r="Y794" s="110">
        <f t="shared" si="317"/>
        <v>0</v>
      </c>
      <c r="Z794" s="110">
        <f t="shared" si="318"/>
        <v>0</v>
      </c>
      <c r="AA794" s="110">
        <f t="shared" si="319"/>
        <v>0</v>
      </c>
      <c r="AB794" s="109">
        <f t="shared" si="315"/>
        <v>0</v>
      </c>
      <c r="AC794" s="371" t="s">
        <v>163</v>
      </c>
      <c r="AD794" s="371"/>
      <c r="AE794" s="371" t="s">
        <v>181</v>
      </c>
      <c r="AF794" s="371"/>
    </row>
    <row r="795" spans="1:32" hidden="1" x14ac:dyDescent="0.2">
      <c r="A795" s="14" t="str">
        <f t="shared" ref="A795" si="320">+IF(AB795&lt;&gt;0,"X","")</f>
        <v/>
      </c>
      <c r="B795" s="69" t="s">
        <v>364</v>
      </c>
      <c r="C795" s="15"/>
      <c r="D795" s="245"/>
      <c r="E795" s="91"/>
      <c r="F795" s="307">
        <f t="shared" si="312"/>
        <v>70</v>
      </c>
      <c r="G795" s="149" t="s">
        <v>20</v>
      </c>
      <c r="H795" s="15" t="s">
        <v>66</v>
      </c>
      <c r="I795" s="92"/>
      <c r="J795" s="92"/>
      <c r="K795" s="92"/>
      <c r="L795" s="92"/>
      <c r="M795" s="92"/>
      <c r="N795" s="92"/>
      <c r="O795" s="92"/>
      <c r="P795" s="92"/>
      <c r="Q795" s="92"/>
      <c r="R795" s="92"/>
      <c r="S795" s="46">
        <f t="shared" si="313"/>
        <v>0</v>
      </c>
      <c r="T795" s="7" t="s">
        <v>503</v>
      </c>
      <c r="U795" s="191">
        <v>0</v>
      </c>
      <c r="V795" s="40">
        <f t="shared" si="314"/>
        <v>0</v>
      </c>
      <c r="W795" s="123">
        <v>60</v>
      </c>
      <c r="X795" s="109">
        <f t="shared" si="316"/>
        <v>0</v>
      </c>
      <c r="Y795" s="110">
        <f t="shared" si="317"/>
        <v>0</v>
      </c>
      <c r="Z795" s="110">
        <f t="shared" si="318"/>
        <v>0</v>
      </c>
      <c r="AA795" s="110">
        <f t="shared" si="319"/>
        <v>0</v>
      </c>
      <c r="AB795" s="109">
        <f t="shared" ref="AB795" si="321">SUM(X795:AA795)</f>
        <v>0</v>
      </c>
      <c r="AC795" s="371" t="s">
        <v>163</v>
      </c>
      <c r="AD795" s="371"/>
      <c r="AE795" s="371" t="s">
        <v>181</v>
      </c>
      <c r="AF795" s="371"/>
    </row>
    <row r="796" spans="1:32" hidden="1" x14ac:dyDescent="0.2">
      <c r="A796" s="14" t="str">
        <f t="shared" si="311"/>
        <v/>
      </c>
      <c r="B796" s="69" t="s">
        <v>38</v>
      </c>
      <c r="C796" s="15"/>
      <c r="D796" s="245"/>
      <c r="E796" s="91"/>
      <c r="F796" s="307">
        <f t="shared" si="312"/>
        <v>70</v>
      </c>
      <c r="G796" s="149" t="s">
        <v>20</v>
      </c>
      <c r="H796" s="15" t="s">
        <v>66</v>
      </c>
      <c r="I796" s="92"/>
      <c r="J796" s="92"/>
      <c r="K796" s="92"/>
      <c r="L796" s="92"/>
      <c r="M796" s="92"/>
      <c r="N796" s="92"/>
      <c r="O796" s="92"/>
      <c r="P796" s="92"/>
      <c r="Q796" s="92"/>
      <c r="R796" s="92"/>
      <c r="S796" s="46">
        <f t="shared" si="313"/>
        <v>0</v>
      </c>
      <c r="T796" s="7" t="s">
        <v>503</v>
      </c>
      <c r="U796" s="191">
        <v>0</v>
      </c>
      <c r="V796" s="40">
        <f t="shared" si="314"/>
        <v>0</v>
      </c>
      <c r="W796" s="123">
        <f>Rate!D38</f>
        <v>45</v>
      </c>
      <c r="X796" s="109">
        <f t="shared" si="316"/>
        <v>0</v>
      </c>
      <c r="Y796" s="110">
        <f t="shared" si="317"/>
        <v>0</v>
      </c>
      <c r="Z796" s="110">
        <f t="shared" si="318"/>
        <v>0</v>
      </c>
      <c r="AA796" s="110">
        <f t="shared" si="319"/>
        <v>0</v>
      </c>
      <c r="AB796" s="109">
        <f t="shared" si="315"/>
        <v>0</v>
      </c>
      <c r="AC796" s="371" t="s">
        <v>163</v>
      </c>
      <c r="AD796" s="371"/>
      <c r="AE796" s="371" t="s">
        <v>181</v>
      </c>
      <c r="AF796" s="371"/>
    </row>
    <row r="797" spans="1:32" hidden="1" x14ac:dyDescent="0.2">
      <c r="A797" s="14" t="str">
        <f t="shared" si="311"/>
        <v/>
      </c>
      <c r="B797" s="69" t="s">
        <v>649</v>
      </c>
      <c r="C797" s="15"/>
      <c r="D797" s="245"/>
      <c r="E797" s="91"/>
      <c r="F797" s="307">
        <f t="shared" si="312"/>
        <v>70</v>
      </c>
      <c r="G797" s="149" t="s">
        <v>20</v>
      </c>
      <c r="H797" s="15" t="s">
        <v>66</v>
      </c>
      <c r="I797" s="92"/>
      <c r="J797" s="92"/>
      <c r="K797" s="92"/>
      <c r="L797" s="92"/>
      <c r="M797" s="92"/>
      <c r="N797" s="92"/>
      <c r="O797" s="92"/>
      <c r="P797" s="92"/>
      <c r="Q797" s="92"/>
      <c r="R797" s="92"/>
      <c r="S797" s="46">
        <f t="shared" si="313"/>
        <v>0</v>
      </c>
      <c r="T797" s="7" t="s">
        <v>503</v>
      </c>
      <c r="U797" s="92">
        <v>0</v>
      </c>
      <c r="V797" s="40">
        <f t="shared" si="314"/>
        <v>0</v>
      </c>
      <c r="W797" s="123">
        <f>Rate!D39</f>
        <v>55</v>
      </c>
      <c r="X797" s="109">
        <f t="shared" si="316"/>
        <v>0</v>
      </c>
      <c r="Y797" s="110">
        <f t="shared" si="317"/>
        <v>0</v>
      </c>
      <c r="Z797" s="110">
        <f t="shared" si="318"/>
        <v>0</v>
      </c>
      <c r="AA797" s="110">
        <f t="shared" si="319"/>
        <v>0</v>
      </c>
      <c r="AB797" s="109">
        <f>SUM(X797:AA797)</f>
        <v>0</v>
      </c>
      <c r="AC797" s="371" t="s">
        <v>163</v>
      </c>
      <c r="AD797" s="371"/>
      <c r="AE797" s="371" t="s">
        <v>181</v>
      </c>
      <c r="AF797" s="371"/>
    </row>
    <row r="798" spans="1:32" hidden="1" x14ac:dyDescent="0.2">
      <c r="A798" s="14" t="str">
        <f t="shared" si="311"/>
        <v/>
      </c>
      <c r="B798" s="69" t="s">
        <v>650</v>
      </c>
      <c r="C798" s="15"/>
      <c r="D798" s="245"/>
      <c r="E798" s="91"/>
      <c r="F798" s="307">
        <f>$D$948</f>
        <v>60</v>
      </c>
      <c r="G798" s="149" t="s">
        <v>20</v>
      </c>
      <c r="H798" s="15" t="s">
        <v>66</v>
      </c>
      <c r="I798" s="92"/>
      <c r="J798" s="92"/>
      <c r="K798" s="92"/>
      <c r="L798" s="92"/>
      <c r="M798" s="92"/>
      <c r="N798" s="92"/>
      <c r="O798" s="92"/>
      <c r="P798" s="92"/>
      <c r="Q798" s="92"/>
      <c r="R798" s="92"/>
      <c r="S798" s="46">
        <f t="shared" si="313"/>
        <v>0</v>
      </c>
      <c r="T798" s="7" t="s">
        <v>503</v>
      </c>
      <c r="U798" s="191">
        <v>0</v>
      </c>
      <c r="V798" s="40">
        <f t="shared" si="314"/>
        <v>0</v>
      </c>
      <c r="W798" s="123">
        <f>Rate!D40</f>
        <v>50</v>
      </c>
      <c r="X798" s="109">
        <f t="shared" si="316"/>
        <v>0</v>
      </c>
      <c r="Y798" s="110">
        <f t="shared" si="317"/>
        <v>0</v>
      </c>
      <c r="Z798" s="110">
        <f t="shared" si="318"/>
        <v>0</v>
      </c>
      <c r="AA798" s="110">
        <f t="shared" si="319"/>
        <v>0</v>
      </c>
      <c r="AB798" s="109">
        <f t="shared" si="315"/>
        <v>0</v>
      </c>
      <c r="AC798" s="371" t="s">
        <v>163</v>
      </c>
      <c r="AD798" s="371"/>
      <c r="AE798" s="371" t="s">
        <v>181</v>
      </c>
      <c r="AF798" s="371"/>
    </row>
    <row r="799" spans="1:32" hidden="1" x14ac:dyDescent="0.2">
      <c r="A799" s="14" t="str">
        <f t="shared" si="311"/>
        <v/>
      </c>
      <c r="B799" s="69" t="s">
        <v>365</v>
      </c>
      <c r="C799" s="15"/>
      <c r="D799" s="245"/>
      <c r="E799" s="91"/>
      <c r="F799" s="307">
        <f>$D$951</f>
        <v>70</v>
      </c>
      <c r="G799" s="149" t="s">
        <v>20</v>
      </c>
      <c r="H799" s="15" t="s">
        <v>66</v>
      </c>
      <c r="I799" s="92"/>
      <c r="J799" s="92"/>
      <c r="K799" s="92"/>
      <c r="L799" s="92"/>
      <c r="M799" s="92"/>
      <c r="N799" s="92"/>
      <c r="O799" s="92"/>
      <c r="P799" s="92"/>
      <c r="Q799" s="92"/>
      <c r="R799" s="92"/>
      <c r="S799" s="46">
        <f t="shared" si="313"/>
        <v>0</v>
      </c>
      <c r="T799" s="7" t="s">
        <v>503</v>
      </c>
      <c r="U799" s="92">
        <v>0</v>
      </c>
      <c r="V799" s="40">
        <f t="shared" si="314"/>
        <v>0</v>
      </c>
      <c r="W799" s="123">
        <f>Rate!D41</f>
        <v>55</v>
      </c>
      <c r="X799" s="109">
        <f t="shared" si="316"/>
        <v>0</v>
      </c>
      <c r="Y799" s="110">
        <f t="shared" si="317"/>
        <v>0</v>
      </c>
      <c r="Z799" s="110">
        <f t="shared" si="318"/>
        <v>0</v>
      </c>
      <c r="AA799" s="110">
        <f t="shared" si="319"/>
        <v>0</v>
      </c>
      <c r="AB799" s="109">
        <f>SUM(X799:AA799)</f>
        <v>0</v>
      </c>
      <c r="AC799" s="371" t="s">
        <v>163</v>
      </c>
      <c r="AD799" s="371"/>
      <c r="AE799" s="371" t="s">
        <v>181</v>
      </c>
      <c r="AF799" s="371"/>
    </row>
    <row r="800" spans="1:32" hidden="1" x14ac:dyDescent="0.2">
      <c r="A800" s="14" t="str">
        <f t="shared" si="311"/>
        <v/>
      </c>
      <c r="B800" s="69" t="s">
        <v>366</v>
      </c>
      <c r="C800" s="15"/>
      <c r="D800" s="245"/>
      <c r="E800" s="91"/>
      <c r="F800" s="307">
        <f t="shared" ref="F800:F806" si="322">$D$948</f>
        <v>60</v>
      </c>
      <c r="G800" s="149" t="s">
        <v>20</v>
      </c>
      <c r="H800" s="15" t="s">
        <v>66</v>
      </c>
      <c r="I800" s="92"/>
      <c r="J800" s="92"/>
      <c r="K800" s="92"/>
      <c r="L800" s="92"/>
      <c r="M800" s="92"/>
      <c r="N800" s="92"/>
      <c r="O800" s="92"/>
      <c r="P800" s="92"/>
      <c r="Q800" s="92"/>
      <c r="R800" s="92"/>
      <c r="S800" s="46">
        <f t="shared" si="313"/>
        <v>0</v>
      </c>
      <c r="T800" s="7" t="s">
        <v>503</v>
      </c>
      <c r="U800" s="191">
        <v>0</v>
      </c>
      <c r="V800" s="40">
        <f t="shared" si="314"/>
        <v>0</v>
      </c>
      <c r="W800" s="123">
        <f>Rate!D42</f>
        <v>44</v>
      </c>
      <c r="X800" s="109">
        <f t="shared" si="316"/>
        <v>0</v>
      </c>
      <c r="Y800" s="110">
        <f t="shared" si="317"/>
        <v>0</v>
      </c>
      <c r="Z800" s="110">
        <f t="shared" si="318"/>
        <v>0</v>
      </c>
      <c r="AA800" s="110">
        <f t="shared" si="319"/>
        <v>0</v>
      </c>
      <c r="AB800" s="109">
        <f t="shared" si="315"/>
        <v>0</v>
      </c>
      <c r="AC800" s="371" t="s">
        <v>163</v>
      </c>
      <c r="AD800" s="371"/>
      <c r="AE800" s="371" t="s">
        <v>181</v>
      </c>
      <c r="AF800" s="371"/>
    </row>
    <row r="801" spans="1:32" hidden="1" x14ac:dyDescent="0.2">
      <c r="A801" s="14" t="str">
        <f t="shared" ref="A801" si="323">+IF(AB801&lt;&gt;0,"X","")</f>
        <v/>
      </c>
      <c r="B801" s="69" t="s">
        <v>367</v>
      </c>
      <c r="C801" s="15"/>
      <c r="D801" s="245"/>
      <c r="E801" s="91"/>
      <c r="F801" s="307">
        <f t="shared" si="322"/>
        <v>60</v>
      </c>
      <c r="G801" s="149" t="s">
        <v>20</v>
      </c>
      <c r="H801" s="15" t="s">
        <v>66</v>
      </c>
      <c r="I801" s="92"/>
      <c r="J801" s="92"/>
      <c r="K801" s="92"/>
      <c r="L801" s="92"/>
      <c r="M801" s="92"/>
      <c r="N801" s="92"/>
      <c r="O801" s="92"/>
      <c r="P801" s="92"/>
      <c r="Q801" s="92"/>
      <c r="R801" s="92"/>
      <c r="S801" s="46">
        <f t="shared" si="313"/>
        <v>0</v>
      </c>
      <c r="T801" s="7" t="s">
        <v>503</v>
      </c>
      <c r="U801" s="191">
        <v>0</v>
      </c>
      <c r="V801" s="40">
        <f t="shared" si="314"/>
        <v>0</v>
      </c>
      <c r="W801" s="123">
        <f>Rate!D43</f>
        <v>50</v>
      </c>
      <c r="X801" s="109">
        <f t="shared" si="316"/>
        <v>0</v>
      </c>
      <c r="Y801" s="110">
        <f t="shared" si="317"/>
        <v>0</v>
      </c>
      <c r="Z801" s="110">
        <f t="shared" si="318"/>
        <v>0</v>
      </c>
      <c r="AA801" s="110">
        <f t="shared" si="319"/>
        <v>0</v>
      </c>
      <c r="AB801" s="109">
        <f t="shared" ref="AB801" si="324">SUM(X801:AA801)</f>
        <v>0</v>
      </c>
      <c r="AC801" s="371" t="s">
        <v>163</v>
      </c>
      <c r="AD801" s="371"/>
      <c r="AE801" s="371" t="s">
        <v>181</v>
      </c>
      <c r="AF801" s="371"/>
    </row>
    <row r="802" spans="1:32" hidden="1" x14ac:dyDescent="0.2">
      <c r="A802" s="14" t="str">
        <f t="shared" si="311"/>
        <v/>
      </c>
      <c r="B802" s="69" t="s">
        <v>368</v>
      </c>
      <c r="C802" s="15"/>
      <c r="D802" s="245"/>
      <c r="E802" s="91"/>
      <c r="F802" s="307">
        <f t="shared" si="322"/>
        <v>60</v>
      </c>
      <c r="G802" s="149" t="s">
        <v>20</v>
      </c>
      <c r="H802" s="15" t="s">
        <v>66</v>
      </c>
      <c r="I802" s="92"/>
      <c r="J802" s="92"/>
      <c r="K802" s="92"/>
      <c r="L802" s="92"/>
      <c r="M802" s="92"/>
      <c r="N802" s="92"/>
      <c r="O802" s="92"/>
      <c r="P802" s="92"/>
      <c r="Q802" s="92"/>
      <c r="R802" s="92"/>
      <c r="S802" s="46">
        <f t="shared" si="313"/>
        <v>0</v>
      </c>
      <c r="T802" s="7" t="s">
        <v>503</v>
      </c>
      <c r="U802" s="191">
        <v>0</v>
      </c>
      <c r="V802" s="40">
        <f t="shared" si="314"/>
        <v>0</v>
      </c>
      <c r="W802" s="123">
        <f>Rate!D44</f>
        <v>30</v>
      </c>
      <c r="X802" s="109">
        <f t="shared" si="316"/>
        <v>0</v>
      </c>
      <c r="Y802" s="110">
        <f t="shared" si="317"/>
        <v>0</v>
      </c>
      <c r="Z802" s="110">
        <f t="shared" si="318"/>
        <v>0</v>
      </c>
      <c r="AA802" s="110">
        <f t="shared" si="319"/>
        <v>0</v>
      </c>
      <c r="AB802" s="109">
        <f t="shared" si="315"/>
        <v>0</v>
      </c>
      <c r="AC802" s="371" t="s">
        <v>163</v>
      </c>
      <c r="AD802" s="371"/>
      <c r="AE802" s="371" t="s">
        <v>181</v>
      </c>
      <c r="AF802" s="371"/>
    </row>
    <row r="803" spans="1:32" hidden="1" x14ac:dyDescent="0.2">
      <c r="A803" s="14" t="str">
        <f t="shared" si="311"/>
        <v/>
      </c>
      <c r="B803" s="69" t="s">
        <v>42</v>
      </c>
      <c r="C803" s="15"/>
      <c r="D803" s="245"/>
      <c r="E803" s="91"/>
      <c r="F803" s="307">
        <f t="shared" si="322"/>
        <v>60</v>
      </c>
      <c r="G803" s="149" t="s">
        <v>20</v>
      </c>
      <c r="H803" s="15" t="s">
        <v>66</v>
      </c>
      <c r="I803" s="92"/>
      <c r="J803" s="92"/>
      <c r="K803" s="92"/>
      <c r="L803" s="92"/>
      <c r="M803" s="92"/>
      <c r="N803" s="92"/>
      <c r="O803" s="92"/>
      <c r="P803" s="92"/>
      <c r="Q803" s="92"/>
      <c r="R803" s="92"/>
      <c r="S803" s="46">
        <f t="shared" si="313"/>
        <v>0</v>
      </c>
      <c r="T803" s="7" t="s">
        <v>503</v>
      </c>
      <c r="U803" s="191">
        <v>0</v>
      </c>
      <c r="V803" s="40">
        <f t="shared" si="314"/>
        <v>0</v>
      </c>
      <c r="W803" s="123">
        <f>Rate!D48</f>
        <v>32</v>
      </c>
      <c r="X803" s="109">
        <f t="shared" si="316"/>
        <v>0</v>
      </c>
      <c r="Y803" s="110">
        <f t="shared" si="317"/>
        <v>0</v>
      </c>
      <c r="Z803" s="110">
        <f t="shared" si="318"/>
        <v>0</v>
      </c>
      <c r="AA803" s="110">
        <f t="shared" si="319"/>
        <v>0</v>
      </c>
      <c r="AB803" s="109">
        <f t="shared" si="315"/>
        <v>0</v>
      </c>
      <c r="AC803" s="371" t="s">
        <v>163</v>
      </c>
      <c r="AD803" s="371"/>
      <c r="AE803" s="371" t="s">
        <v>181</v>
      </c>
      <c r="AF803" s="371"/>
    </row>
    <row r="804" spans="1:32" hidden="1" x14ac:dyDescent="0.2">
      <c r="A804" s="14" t="str">
        <f t="shared" si="311"/>
        <v/>
      </c>
      <c r="B804" s="69" t="s">
        <v>43</v>
      </c>
      <c r="C804" s="15"/>
      <c r="D804" s="245"/>
      <c r="E804" s="91"/>
      <c r="F804" s="307">
        <f t="shared" si="322"/>
        <v>60</v>
      </c>
      <c r="G804" s="149" t="s">
        <v>20</v>
      </c>
      <c r="H804" s="15" t="s">
        <v>66</v>
      </c>
      <c r="I804" s="92"/>
      <c r="J804" s="92"/>
      <c r="K804" s="92"/>
      <c r="L804" s="92"/>
      <c r="M804" s="92"/>
      <c r="N804" s="92"/>
      <c r="O804" s="92"/>
      <c r="P804" s="92"/>
      <c r="Q804" s="92"/>
      <c r="R804" s="92"/>
      <c r="S804" s="46">
        <f t="shared" si="313"/>
        <v>0</v>
      </c>
      <c r="T804" s="7" t="s">
        <v>503</v>
      </c>
      <c r="U804" s="191">
        <v>0</v>
      </c>
      <c r="V804" s="40">
        <f t="shared" si="314"/>
        <v>0</v>
      </c>
      <c r="W804" s="123">
        <f>Rate!D49</f>
        <v>26</v>
      </c>
      <c r="X804" s="109">
        <f t="shared" si="316"/>
        <v>0</v>
      </c>
      <c r="Y804" s="110">
        <f t="shared" si="317"/>
        <v>0</v>
      </c>
      <c r="Z804" s="110">
        <f t="shared" si="318"/>
        <v>0</v>
      </c>
      <c r="AA804" s="110">
        <f t="shared" si="319"/>
        <v>0</v>
      </c>
      <c r="AB804" s="109">
        <f t="shared" si="315"/>
        <v>0</v>
      </c>
      <c r="AC804" s="371" t="s">
        <v>163</v>
      </c>
      <c r="AD804" s="371"/>
      <c r="AE804" s="371" t="s">
        <v>181</v>
      </c>
      <c r="AF804" s="371"/>
    </row>
    <row r="805" spans="1:32" hidden="1" x14ac:dyDescent="0.2">
      <c r="A805" s="14" t="str">
        <f t="shared" si="311"/>
        <v/>
      </c>
      <c r="B805" s="69" t="s">
        <v>44</v>
      </c>
      <c r="C805" s="15"/>
      <c r="D805" s="245"/>
      <c r="E805" s="91"/>
      <c r="F805" s="307">
        <f t="shared" si="322"/>
        <v>60</v>
      </c>
      <c r="G805" s="149" t="s">
        <v>20</v>
      </c>
      <c r="H805" s="15" t="s">
        <v>66</v>
      </c>
      <c r="I805" s="92"/>
      <c r="J805" s="92"/>
      <c r="K805" s="92"/>
      <c r="L805" s="92"/>
      <c r="M805" s="92"/>
      <c r="N805" s="92"/>
      <c r="O805" s="92"/>
      <c r="P805" s="92"/>
      <c r="Q805" s="92"/>
      <c r="R805" s="92"/>
      <c r="S805" s="46">
        <f t="shared" si="313"/>
        <v>0</v>
      </c>
      <c r="T805" s="7" t="s">
        <v>503</v>
      </c>
      <c r="U805" s="191">
        <v>0</v>
      </c>
      <c r="V805" s="40">
        <f t="shared" si="314"/>
        <v>0</v>
      </c>
      <c r="W805" s="123">
        <f>Rate!D50</f>
        <v>28</v>
      </c>
      <c r="X805" s="110">
        <f t="shared" si="316"/>
        <v>0</v>
      </c>
      <c r="Y805" s="110">
        <f t="shared" si="317"/>
        <v>0</v>
      </c>
      <c r="Z805" s="110">
        <f t="shared" si="318"/>
        <v>0</v>
      </c>
      <c r="AA805" s="110">
        <f t="shared" si="319"/>
        <v>0</v>
      </c>
      <c r="AB805" s="110">
        <f t="shared" ref="AB805:AB811" si="325">SUM(X805:AA805)</f>
        <v>0</v>
      </c>
      <c r="AC805" s="371" t="s">
        <v>163</v>
      </c>
      <c r="AD805" s="371"/>
      <c r="AE805" s="371" t="s">
        <v>181</v>
      </c>
      <c r="AF805" s="371"/>
    </row>
    <row r="806" spans="1:32" hidden="1" x14ac:dyDescent="0.2">
      <c r="A806" s="14" t="str">
        <f>+IF(AB806&lt;&gt;0,"X","")</f>
        <v/>
      </c>
      <c r="B806" s="69" t="s">
        <v>370</v>
      </c>
      <c r="C806" s="15"/>
      <c r="D806" s="245"/>
      <c r="E806" s="91"/>
      <c r="F806" s="307">
        <f t="shared" si="322"/>
        <v>60</v>
      </c>
      <c r="G806" s="149" t="s">
        <v>69</v>
      </c>
      <c r="H806" s="15" t="s">
        <v>66</v>
      </c>
      <c r="I806" s="92"/>
      <c r="J806" s="92"/>
      <c r="K806" s="92"/>
      <c r="L806" s="92"/>
      <c r="M806" s="92"/>
      <c r="N806" s="92"/>
      <c r="O806" s="92"/>
      <c r="P806" s="92"/>
      <c r="Q806" s="92"/>
      <c r="R806" s="92"/>
      <c r="S806" s="46">
        <f t="shared" si="313"/>
        <v>0</v>
      </c>
      <c r="T806" s="7" t="s">
        <v>503</v>
      </c>
      <c r="U806" s="191">
        <v>0</v>
      </c>
      <c r="V806" s="40">
        <f t="shared" si="314"/>
        <v>0</v>
      </c>
      <c r="W806" s="123">
        <f>Rate!D50</f>
        <v>28</v>
      </c>
      <c r="X806" s="110">
        <f t="shared" si="316"/>
        <v>0</v>
      </c>
      <c r="Y806" s="110">
        <f t="shared" si="317"/>
        <v>0</v>
      </c>
      <c r="Z806" s="110">
        <f t="shared" si="318"/>
        <v>0</v>
      </c>
      <c r="AA806" s="110">
        <f t="shared" si="319"/>
        <v>0</v>
      </c>
      <c r="AB806" s="110">
        <f>SUM(X806:AA806)</f>
        <v>0</v>
      </c>
      <c r="AC806" s="371" t="s">
        <v>163</v>
      </c>
      <c r="AD806" s="371"/>
      <c r="AE806" s="371" t="s">
        <v>181</v>
      </c>
      <c r="AF806" s="371"/>
    </row>
    <row r="807" spans="1:32" hidden="1" x14ac:dyDescent="0.2">
      <c r="A807" s="14" t="str">
        <f t="shared" si="311"/>
        <v/>
      </c>
      <c r="B807" s="71" t="s">
        <v>371</v>
      </c>
      <c r="C807" s="15"/>
      <c r="D807" s="242"/>
      <c r="E807" s="91"/>
      <c r="F807" s="307"/>
      <c r="G807" s="149" t="s">
        <v>20</v>
      </c>
      <c r="H807" s="15" t="s">
        <v>66</v>
      </c>
      <c r="I807" s="92"/>
      <c r="J807" s="92"/>
      <c r="K807" s="92"/>
      <c r="L807" s="92"/>
      <c r="M807" s="92"/>
      <c r="N807" s="92"/>
      <c r="O807" s="92"/>
      <c r="P807" s="92"/>
      <c r="Q807" s="92"/>
      <c r="R807" s="92"/>
      <c r="S807" s="46">
        <f t="shared" si="313"/>
        <v>0</v>
      </c>
      <c r="T807" s="7" t="s">
        <v>503</v>
      </c>
      <c r="U807" s="191">
        <v>0</v>
      </c>
      <c r="V807" s="40">
        <f t="shared" si="314"/>
        <v>0</v>
      </c>
      <c r="W807" s="35">
        <f>W791+1</f>
        <v>61</v>
      </c>
      <c r="X807" s="109">
        <f t="shared" si="316"/>
        <v>0</v>
      </c>
      <c r="Y807" s="110">
        <f t="shared" si="317"/>
        <v>0</v>
      </c>
      <c r="Z807" s="110">
        <f t="shared" si="318"/>
        <v>0</v>
      </c>
      <c r="AA807" s="110">
        <f t="shared" si="319"/>
        <v>0</v>
      </c>
      <c r="AB807" s="109">
        <f t="shared" si="325"/>
        <v>0</v>
      </c>
      <c r="AC807" s="371" t="s">
        <v>163</v>
      </c>
      <c r="AD807" s="371"/>
      <c r="AE807" s="371" t="s">
        <v>181</v>
      </c>
      <c r="AF807" s="371"/>
    </row>
    <row r="808" spans="1:32" hidden="1" x14ac:dyDescent="0.2">
      <c r="A808" s="14" t="str">
        <f t="shared" si="311"/>
        <v/>
      </c>
      <c r="B808" s="71" t="s">
        <v>372</v>
      </c>
      <c r="C808" s="15"/>
      <c r="D808" s="242"/>
      <c r="E808" s="91"/>
      <c r="F808" s="307"/>
      <c r="G808" s="149" t="s">
        <v>20</v>
      </c>
      <c r="H808" s="15" t="s">
        <v>66</v>
      </c>
      <c r="I808" s="92"/>
      <c r="J808" s="92"/>
      <c r="K808" s="92"/>
      <c r="L808" s="92"/>
      <c r="M808" s="92"/>
      <c r="N808" s="92"/>
      <c r="O808" s="92"/>
      <c r="P808" s="92"/>
      <c r="Q808" s="92"/>
      <c r="R808" s="92"/>
      <c r="S808" s="46">
        <f t="shared" si="313"/>
        <v>0</v>
      </c>
      <c r="T808" s="7" t="s">
        <v>503</v>
      </c>
      <c r="U808" s="191">
        <v>0</v>
      </c>
      <c r="V808" s="40">
        <f t="shared" si="314"/>
        <v>0</v>
      </c>
      <c r="W808" s="35">
        <f>W796+1</f>
        <v>46</v>
      </c>
      <c r="X808" s="109">
        <f t="shared" si="316"/>
        <v>0</v>
      </c>
      <c r="Y808" s="110">
        <f t="shared" si="317"/>
        <v>0</v>
      </c>
      <c r="Z808" s="110">
        <f t="shared" si="318"/>
        <v>0</v>
      </c>
      <c r="AA808" s="110">
        <f t="shared" si="319"/>
        <v>0</v>
      </c>
      <c r="AB808" s="109">
        <f t="shared" si="325"/>
        <v>0</v>
      </c>
      <c r="AC808" s="371" t="s">
        <v>163</v>
      </c>
      <c r="AD808" s="371"/>
      <c r="AE808" s="371" t="s">
        <v>181</v>
      </c>
      <c r="AF808" s="371"/>
    </row>
    <row r="809" spans="1:32" hidden="1" x14ac:dyDescent="0.2">
      <c r="A809" s="14" t="str">
        <f t="shared" si="311"/>
        <v/>
      </c>
      <c r="B809" s="71" t="s">
        <v>373</v>
      </c>
      <c r="C809" s="15"/>
      <c r="D809" s="242"/>
      <c r="E809" s="91"/>
      <c r="F809" s="307"/>
      <c r="G809" s="149" t="s">
        <v>20</v>
      </c>
      <c r="H809" s="15" t="s">
        <v>66</v>
      </c>
      <c r="I809" s="92"/>
      <c r="J809" s="92"/>
      <c r="K809" s="92"/>
      <c r="L809" s="92"/>
      <c r="M809" s="92"/>
      <c r="N809" s="92"/>
      <c r="O809" s="92"/>
      <c r="P809" s="92"/>
      <c r="Q809" s="92"/>
      <c r="R809" s="92"/>
      <c r="S809" s="46">
        <f t="shared" si="313"/>
        <v>0</v>
      </c>
      <c r="T809" s="7" t="s">
        <v>503</v>
      </c>
      <c r="U809" s="191">
        <v>0</v>
      </c>
      <c r="V809" s="40">
        <f t="shared" si="314"/>
        <v>0</v>
      </c>
      <c r="W809" s="35">
        <f>W798+1</f>
        <v>51</v>
      </c>
      <c r="X809" s="109">
        <f t="shared" si="316"/>
        <v>0</v>
      </c>
      <c r="Y809" s="110">
        <f t="shared" si="317"/>
        <v>0</v>
      </c>
      <c r="Z809" s="110">
        <f t="shared" si="318"/>
        <v>0</v>
      </c>
      <c r="AA809" s="110">
        <f t="shared" si="319"/>
        <v>0</v>
      </c>
      <c r="AB809" s="109">
        <f t="shared" si="325"/>
        <v>0</v>
      </c>
      <c r="AC809" s="371" t="s">
        <v>163</v>
      </c>
      <c r="AD809" s="371"/>
      <c r="AE809" s="371" t="s">
        <v>181</v>
      </c>
      <c r="AF809" s="371"/>
    </row>
    <row r="810" spans="1:32" hidden="1" x14ac:dyDescent="0.2">
      <c r="A810" s="14" t="str">
        <f t="shared" si="311"/>
        <v/>
      </c>
      <c r="B810" s="71" t="s">
        <v>374</v>
      </c>
      <c r="C810" s="15"/>
      <c r="D810" s="242"/>
      <c r="E810" s="91"/>
      <c r="F810" s="307"/>
      <c r="G810" s="149" t="s">
        <v>20</v>
      </c>
      <c r="H810" s="15" t="s">
        <v>66</v>
      </c>
      <c r="I810" s="92"/>
      <c r="J810" s="92"/>
      <c r="K810" s="92"/>
      <c r="L810" s="92"/>
      <c r="M810" s="92"/>
      <c r="N810" s="92"/>
      <c r="O810" s="92"/>
      <c r="P810" s="92"/>
      <c r="Q810" s="92"/>
      <c r="R810" s="92"/>
      <c r="S810" s="46">
        <f t="shared" si="313"/>
        <v>0</v>
      </c>
      <c r="T810" s="7" t="s">
        <v>503</v>
      </c>
      <c r="U810" s="191">
        <v>0</v>
      </c>
      <c r="V810" s="40">
        <f t="shared" si="314"/>
        <v>0</v>
      </c>
      <c r="W810" s="35">
        <f>W800+1</f>
        <v>45</v>
      </c>
      <c r="X810" s="109">
        <f t="shared" si="316"/>
        <v>0</v>
      </c>
      <c r="Y810" s="110">
        <f t="shared" si="317"/>
        <v>0</v>
      </c>
      <c r="Z810" s="110">
        <f t="shared" si="318"/>
        <v>0</v>
      </c>
      <c r="AA810" s="110">
        <f t="shared" si="319"/>
        <v>0</v>
      </c>
      <c r="AB810" s="109">
        <f t="shared" si="325"/>
        <v>0</v>
      </c>
      <c r="AC810" s="371" t="s">
        <v>163</v>
      </c>
      <c r="AD810" s="371"/>
      <c r="AE810" s="371" t="s">
        <v>181</v>
      </c>
      <c r="AF810" s="371"/>
    </row>
    <row r="811" spans="1:32" hidden="1" x14ac:dyDescent="0.2">
      <c r="A811" s="14" t="str">
        <f t="shared" si="311"/>
        <v/>
      </c>
      <c r="B811" s="71" t="s">
        <v>375</v>
      </c>
      <c r="C811" s="15"/>
      <c r="D811" s="242"/>
      <c r="E811" s="91"/>
      <c r="F811" s="307"/>
      <c r="G811" s="149" t="s">
        <v>20</v>
      </c>
      <c r="H811" s="15" t="s">
        <v>66</v>
      </c>
      <c r="I811" s="92"/>
      <c r="J811" s="92"/>
      <c r="K811" s="92"/>
      <c r="L811" s="92"/>
      <c r="M811" s="92"/>
      <c r="N811" s="92"/>
      <c r="O811" s="92"/>
      <c r="P811" s="92"/>
      <c r="Q811" s="92"/>
      <c r="R811" s="92"/>
      <c r="S811" s="46">
        <f t="shared" si="313"/>
        <v>0</v>
      </c>
      <c r="T811" s="7" t="s">
        <v>503</v>
      </c>
      <c r="U811" s="191">
        <v>0</v>
      </c>
      <c r="V811" s="40">
        <f t="shared" si="314"/>
        <v>0</v>
      </c>
      <c r="W811" s="35">
        <f>W804+1</f>
        <v>27</v>
      </c>
      <c r="X811" s="109">
        <f t="shared" si="316"/>
        <v>0</v>
      </c>
      <c r="Y811" s="110">
        <f t="shared" si="317"/>
        <v>0</v>
      </c>
      <c r="Z811" s="110">
        <f t="shared" si="318"/>
        <v>0</v>
      </c>
      <c r="AA811" s="110">
        <f t="shared" si="319"/>
        <v>0</v>
      </c>
      <c r="AB811" s="109">
        <f t="shared" si="325"/>
        <v>0</v>
      </c>
      <c r="AC811" s="371" t="s">
        <v>163</v>
      </c>
      <c r="AD811" s="371"/>
      <c r="AE811" s="371" t="s">
        <v>181</v>
      </c>
      <c r="AF811" s="371"/>
    </row>
    <row r="812" spans="1:32" x14ac:dyDescent="0.2">
      <c r="A812" s="14" t="str">
        <f>+IF(SUM(E813:E814)&lt;&gt;0,"X","")</f>
        <v>X</v>
      </c>
      <c r="B812" s="73" t="s">
        <v>376</v>
      </c>
      <c r="C812" s="85"/>
      <c r="D812" s="242"/>
      <c r="E812" s="48"/>
      <c r="F812" s="49"/>
      <c r="G812" s="43"/>
      <c r="H812" s="15"/>
      <c r="I812" s="92"/>
      <c r="J812" s="92"/>
      <c r="K812" s="92"/>
      <c r="L812" s="92"/>
      <c r="M812" s="92"/>
      <c r="N812" s="92"/>
      <c r="O812" s="92"/>
      <c r="P812" s="92"/>
      <c r="Q812" s="92"/>
      <c r="R812" s="92"/>
      <c r="S812" s="92" t="s">
        <v>13</v>
      </c>
      <c r="T812" s="92" t="s">
        <v>13</v>
      </c>
      <c r="U812" s="308">
        <v>0</v>
      </c>
      <c r="V812" s="92" t="s">
        <v>13</v>
      </c>
      <c r="W812" s="92" t="s">
        <v>13</v>
      </c>
      <c r="X812" s="110">
        <f t="shared" si="316"/>
        <v>0</v>
      </c>
      <c r="Y812" s="110">
        <f t="shared" si="317"/>
        <v>0</v>
      </c>
      <c r="Z812" s="110">
        <f t="shared" si="318"/>
        <v>0</v>
      </c>
      <c r="AA812" s="110">
        <f t="shared" si="319"/>
        <v>0</v>
      </c>
      <c r="AB812" s="110"/>
      <c r="AC812" s="42"/>
      <c r="AD812" s="42"/>
      <c r="AE812" s="42"/>
      <c r="AF812" s="42"/>
    </row>
    <row r="813" spans="1:32" hidden="1" x14ac:dyDescent="0.2">
      <c r="A813" s="14" t="str">
        <f>+IF(E813&lt;&gt;0,"X","")</f>
        <v/>
      </c>
      <c r="B813" s="69" t="s">
        <v>377</v>
      </c>
      <c r="C813" s="85"/>
      <c r="D813" s="242"/>
      <c r="E813" s="48">
        <f>IFERROR(SUM(S787:S811),0)</f>
        <v>0</v>
      </c>
      <c r="F813" s="76">
        <f>SUM(X787:X811)</f>
        <v>0</v>
      </c>
      <c r="G813" s="76">
        <v>61.333300000000001</v>
      </c>
      <c r="H813" s="15"/>
      <c r="I813" s="92"/>
      <c r="J813" s="92"/>
      <c r="K813" s="92"/>
      <c r="L813" s="92"/>
      <c r="M813" s="92"/>
      <c r="N813" s="92"/>
      <c r="O813" s="92"/>
      <c r="P813" s="92"/>
      <c r="Q813" s="92"/>
      <c r="R813" s="92"/>
      <c r="S813" s="92" t="s">
        <v>13</v>
      </c>
      <c r="T813" s="92" t="s">
        <v>13</v>
      </c>
      <c r="U813" s="308">
        <v>0</v>
      </c>
      <c r="V813" s="92" t="s">
        <v>13</v>
      </c>
      <c r="W813" s="92" t="s">
        <v>13</v>
      </c>
      <c r="X813" s="110">
        <f t="shared" si="316"/>
        <v>0</v>
      </c>
      <c r="Y813" s="110">
        <f t="shared" si="317"/>
        <v>0</v>
      </c>
      <c r="Z813" s="110">
        <f t="shared" si="318"/>
        <v>0</v>
      </c>
      <c r="AA813" s="110">
        <f t="shared" si="319"/>
        <v>0</v>
      </c>
      <c r="AB813" s="110"/>
      <c r="AC813" s="42"/>
      <c r="AD813" s="42"/>
      <c r="AE813" s="42"/>
      <c r="AF813" s="42"/>
    </row>
    <row r="814" spans="1:32" x14ac:dyDescent="0.2">
      <c r="A814" s="14" t="str">
        <f>+IF(E814&lt;&gt;0,"X","")</f>
        <v>X</v>
      </c>
      <c r="B814" s="69" t="s">
        <v>378</v>
      </c>
      <c r="C814" s="85"/>
      <c r="D814" s="242"/>
      <c r="E814" s="48">
        <f>C922</f>
        <v>3966.9749999999999</v>
      </c>
      <c r="F814" s="76">
        <f>SUM(X3:X785,X817:X817)</f>
        <v>109928.31033035163</v>
      </c>
      <c r="G814" s="76">
        <v>36.118400000000001</v>
      </c>
      <c r="H814" s="15"/>
      <c r="I814" s="92"/>
      <c r="J814" s="92"/>
      <c r="K814" s="92"/>
      <c r="L814" s="92"/>
      <c r="M814" s="92"/>
      <c r="N814" s="92"/>
      <c r="O814" s="92"/>
      <c r="P814" s="92"/>
      <c r="Q814" s="92"/>
      <c r="R814" s="92"/>
      <c r="S814" s="92" t="s">
        <v>13</v>
      </c>
      <c r="T814" s="92" t="s">
        <v>13</v>
      </c>
      <c r="U814" s="308">
        <v>0</v>
      </c>
      <c r="V814" s="92" t="s">
        <v>13</v>
      </c>
      <c r="W814" s="92" t="s">
        <v>13</v>
      </c>
      <c r="X814" s="110">
        <f t="shared" si="316"/>
        <v>0</v>
      </c>
      <c r="Y814" s="110">
        <f t="shared" si="317"/>
        <v>0</v>
      </c>
      <c r="Z814" s="110">
        <f t="shared" si="318"/>
        <v>0</v>
      </c>
      <c r="AA814" s="110">
        <f t="shared" si="319"/>
        <v>0</v>
      </c>
      <c r="AB814" s="110"/>
      <c r="AC814" s="42"/>
      <c r="AD814" s="42"/>
      <c r="AE814" s="42"/>
      <c r="AF814" s="42"/>
    </row>
    <row r="815" spans="1:32" hidden="1" x14ac:dyDescent="0.2">
      <c r="A815" s="14" t="str">
        <f>+IF(E815&lt;&gt;0,"X","")</f>
        <v/>
      </c>
      <c r="B815" s="69" t="s">
        <v>379</v>
      </c>
      <c r="C815" s="85"/>
      <c r="D815" s="242"/>
      <c r="E815" s="50">
        <f>IFERROR(E813/E814,0)</f>
        <v>0</v>
      </c>
      <c r="F815" s="50">
        <f>IFERROR(F813/F814,0)</f>
        <v>0</v>
      </c>
      <c r="G815" s="43"/>
      <c r="H815" s="15"/>
      <c r="I815" s="92"/>
      <c r="J815" s="92"/>
      <c r="K815" s="92"/>
      <c r="L815" s="92"/>
      <c r="M815" s="92"/>
      <c r="N815" s="92"/>
      <c r="O815" s="92"/>
      <c r="P815" s="92"/>
      <c r="Q815" s="92"/>
      <c r="R815" s="92"/>
      <c r="S815" s="92" t="s">
        <v>13</v>
      </c>
      <c r="T815" s="92" t="s">
        <v>13</v>
      </c>
      <c r="U815" s="308">
        <v>0</v>
      </c>
      <c r="V815" s="92" t="s">
        <v>13</v>
      </c>
      <c r="W815" s="92" t="s">
        <v>13</v>
      </c>
      <c r="X815" s="110">
        <f t="shared" si="316"/>
        <v>0</v>
      </c>
      <c r="Y815" s="110">
        <f t="shared" si="317"/>
        <v>0</v>
      </c>
      <c r="Z815" s="110">
        <f t="shared" si="318"/>
        <v>0</v>
      </c>
      <c r="AA815" s="110">
        <f t="shared" si="319"/>
        <v>0</v>
      </c>
      <c r="AB815" s="110"/>
      <c r="AC815" s="42"/>
      <c r="AD815" s="42"/>
      <c r="AE815" s="42"/>
      <c r="AF815" s="42"/>
    </row>
    <row r="816" spans="1:32" hidden="1" x14ac:dyDescent="0.2">
      <c r="A816" s="14" t="str">
        <f>+IF(E816&lt;&gt;0,"X","")</f>
        <v/>
      </c>
      <c r="B816" s="69" t="s">
        <v>380</v>
      </c>
      <c r="C816" s="85"/>
      <c r="D816" s="242"/>
      <c r="E816" s="51">
        <f>IFERROR(SUM(AB787:AB811)/E814,0)</f>
        <v>0</v>
      </c>
      <c r="F816" s="49"/>
      <c r="G816" s="43"/>
      <c r="H816" s="15"/>
      <c r="I816" s="92"/>
      <c r="J816" s="92"/>
      <c r="K816" s="92"/>
      <c r="L816" s="92"/>
      <c r="M816" s="92"/>
      <c r="N816" s="92"/>
      <c r="O816" s="92"/>
      <c r="P816" s="92"/>
      <c r="Q816" s="92"/>
      <c r="R816" s="92"/>
      <c r="S816" s="92" t="s">
        <v>13</v>
      </c>
      <c r="T816" s="92" t="s">
        <v>13</v>
      </c>
      <c r="U816" s="308">
        <v>0</v>
      </c>
      <c r="V816" s="92" t="s">
        <v>13</v>
      </c>
      <c r="W816" s="92" t="s">
        <v>13</v>
      </c>
      <c r="X816" s="110">
        <f t="shared" si="316"/>
        <v>0</v>
      </c>
      <c r="Y816" s="110">
        <f t="shared" si="317"/>
        <v>0</v>
      </c>
      <c r="Z816" s="110">
        <f t="shared" si="318"/>
        <v>0</v>
      </c>
      <c r="AA816" s="110">
        <f t="shared" si="319"/>
        <v>0</v>
      </c>
      <c r="AB816" s="110"/>
      <c r="AC816" s="42"/>
      <c r="AD816" s="42"/>
      <c r="AE816" s="42"/>
      <c r="AF816" s="42"/>
    </row>
    <row r="817" spans="1:32" x14ac:dyDescent="0.2">
      <c r="A817" s="14" t="str">
        <f t="shared" ref="A817:A822" si="326">+IF(AB817&lt;&gt;0,"X","")</f>
        <v>X</v>
      </c>
      <c r="B817" s="69" t="s">
        <v>644</v>
      </c>
      <c r="C817" s="15" t="s">
        <v>741</v>
      </c>
      <c r="D817" s="242"/>
      <c r="E817" s="20"/>
      <c r="F817" s="21"/>
      <c r="G817" s="85"/>
      <c r="H817" s="15" t="s">
        <v>66</v>
      </c>
      <c r="I817" s="40"/>
      <c r="J817" s="92"/>
      <c r="K817" s="92"/>
      <c r="L817" s="92"/>
      <c r="M817" s="92"/>
      <c r="N817" s="92"/>
      <c r="O817" s="92"/>
      <c r="P817" s="92"/>
      <c r="Q817" s="92"/>
      <c r="R817" s="92"/>
      <c r="S817" s="52">
        <v>0.05</v>
      </c>
      <c r="T817" s="7" t="s">
        <v>643</v>
      </c>
      <c r="U817" s="92">
        <f>SUMIFS($V$3:$V$785,$AE$3:$AE$785,AE817)</f>
        <v>3209.58</v>
      </c>
      <c r="V817" s="31">
        <f>IFERROR(S817*SUM(V3:V637),0)</f>
        <v>115.479</v>
      </c>
      <c r="W817" s="35">
        <f>IFERROR(SUM(X3:X663)/SUM(V3:V663),0)</f>
        <v>33.060559325519229</v>
      </c>
      <c r="X817" s="110">
        <f t="shared" si="316"/>
        <v>3817.8003303516352</v>
      </c>
      <c r="Y817" s="110">
        <f t="shared" si="317"/>
        <v>0</v>
      </c>
      <c r="Z817" s="110">
        <f t="shared" si="318"/>
        <v>0</v>
      </c>
      <c r="AA817" s="110">
        <f t="shared" si="319"/>
        <v>0</v>
      </c>
      <c r="AB817" s="110">
        <f>SUM(X817:AA817)</f>
        <v>3817.8003303516352</v>
      </c>
      <c r="AC817" s="371" t="s">
        <v>163</v>
      </c>
      <c r="AD817" s="371" t="s">
        <v>170</v>
      </c>
      <c r="AE817" s="371" t="s">
        <v>149</v>
      </c>
      <c r="AF817" s="371"/>
    </row>
    <row r="818" spans="1:32" hidden="1" x14ac:dyDescent="0.2">
      <c r="A818" s="14" t="str">
        <f t="shared" si="326"/>
        <v/>
      </c>
      <c r="B818" s="69" t="s">
        <v>640</v>
      </c>
      <c r="C818" s="15" t="s">
        <v>742</v>
      </c>
      <c r="D818" s="242"/>
      <c r="E818" s="20"/>
      <c r="F818" s="21"/>
      <c r="G818" s="85"/>
      <c r="H818" s="15" t="s">
        <v>66</v>
      </c>
      <c r="I818" s="40"/>
      <c r="J818" s="92"/>
      <c r="K818" s="92"/>
      <c r="L818" s="92"/>
      <c r="M818" s="92"/>
      <c r="N818" s="92"/>
      <c r="O818" s="92"/>
      <c r="P818" s="92"/>
      <c r="Q818" s="92"/>
      <c r="R818" s="92"/>
      <c r="S818" s="52">
        <v>0.05</v>
      </c>
      <c r="T818" s="7" t="s">
        <v>643</v>
      </c>
      <c r="U818" s="92">
        <f>SUMIFS($V$3:$V$785,$AD$3:$AD$785,AD818,$AE$3:$AE$785,AE818)</f>
        <v>0</v>
      </c>
      <c r="V818" s="31">
        <f>S818*U818</f>
        <v>0</v>
      </c>
      <c r="W818" s="35">
        <f>IFERROR(SUMIFS($X$3:$X$811,$AD$3:$AD$811,"Pipe",$AE$3:$AE$811,"Dir")/SUMIFS($V$3:$V$811,$AD$3:$AD$811,"Pipe",$AE$3:$AE$811,"Dir"),0)</f>
        <v>33.060559325519229</v>
      </c>
      <c r="X818" s="110">
        <f t="shared" ref="X818:X819" si="327">IF(H818="L",V818*W818,0)</f>
        <v>0</v>
      </c>
      <c r="Y818" s="110">
        <f t="shared" ref="Y818:Y819" si="328">IF(H818="M",S818*W818,0)</f>
        <v>0</v>
      </c>
      <c r="Z818" s="110">
        <f t="shared" ref="Z818:Z819" si="329">IF(H818="S",S818*W818,0)</f>
        <v>0</v>
      </c>
      <c r="AA818" s="110">
        <f t="shared" ref="AA818:AA819" si="330">IF(H818="E",G818*S818*W818,0)</f>
        <v>0</v>
      </c>
      <c r="AB818" s="110">
        <f>SUM(X818:AA818)</f>
        <v>0</v>
      </c>
      <c r="AC818" s="371" t="s">
        <v>163</v>
      </c>
      <c r="AD818" s="371" t="s">
        <v>169</v>
      </c>
      <c r="AE818" s="371" t="s">
        <v>149</v>
      </c>
      <c r="AF818" s="371"/>
    </row>
    <row r="819" spans="1:32" hidden="1" x14ac:dyDescent="0.2">
      <c r="A819" s="14" t="str">
        <f t="shared" si="326"/>
        <v/>
      </c>
      <c r="B819" s="69" t="s">
        <v>642</v>
      </c>
      <c r="C819" s="15" t="s">
        <v>743</v>
      </c>
      <c r="D819" s="242"/>
      <c r="E819" s="20"/>
      <c r="F819" s="21"/>
      <c r="G819" s="85"/>
      <c r="H819" s="15" t="s">
        <v>66</v>
      </c>
      <c r="I819" s="40"/>
      <c r="J819" s="92"/>
      <c r="K819" s="92"/>
      <c r="L819" s="92"/>
      <c r="M819" s="92"/>
      <c r="N819" s="92"/>
      <c r="O819" s="92"/>
      <c r="P819" s="92"/>
      <c r="Q819" s="92"/>
      <c r="R819" s="92"/>
      <c r="S819" s="52">
        <v>0.05</v>
      </c>
      <c r="T819" s="7" t="s">
        <v>643</v>
      </c>
      <c r="U819" s="92">
        <f>SUMIFS($V$3:$V$785,$AD$3:$AD$785,AD819,$AE$3:$AE$785,AE819)</f>
        <v>0</v>
      </c>
      <c r="V819" s="31">
        <f>S819*U819</f>
        <v>0</v>
      </c>
      <c r="W819" s="35">
        <f>IFERROR(SUMIFS($X$3:$X$811,$AD$3:$AD$811,"Pipe",$AE$3:$AE$811,"Dir")/SUMIFS($V$3:$V$811,$AD$3:$AD$811,"Pipe",$AE$3:$AE$811,"Dir"),0)</f>
        <v>33.060559325519229</v>
      </c>
      <c r="X819" s="110">
        <f t="shared" si="327"/>
        <v>0</v>
      </c>
      <c r="Y819" s="110">
        <f t="shared" si="328"/>
        <v>0</v>
      </c>
      <c r="Z819" s="110">
        <f t="shared" si="329"/>
        <v>0</v>
      </c>
      <c r="AA819" s="110">
        <f t="shared" si="330"/>
        <v>0</v>
      </c>
      <c r="AB819" s="110">
        <f>SUM(X819:AA819)</f>
        <v>0</v>
      </c>
      <c r="AC819" s="371" t="s">
        <v>163</v>
      </c>
      <c r="AD819" s="371" t="s">
        <v>152</v>
      </c>
      <c r="AE819" s="371" t="s">
        <v>149</v>
      </c>
      <c r="AF819" s="371"/>
    </row>
    <row r="820" spans="1:32" x14ac:dyDescent="0.2">
      <c r="A820" s="14" t="str">
        <f t="shared" si="326"/>
        <v>X</v>
      </c>
      <c r="B820" s="69" t="s">
        <v>641</v>
      </c>
      <c r="C820" s="15" t="s">
        <v>744</v>
      </c>
      <c r="D820" s="242"/>
      <c r="E820" s="20"/>
      <c r="F820" s="21"/>
      <c r="G820" s="85"/>
      <c r="H820" s="15" t="s">
        <v>66</v>
      </c>
      <c r="I820" s="40"/>
      <c r="J820" s="92"/>
      <c r="K820" s="92"/>
      <c r="L820" s="92"/>
      <c r="M820" s="92"/>
      <c r="N820" s="92"/>
      <c r="O820" s="92"/>
      <c r="P820" s="92"/>
      <c r="Q820" s="92"/>
      <c r="R820" s="92"/>
      <c r="S820" s="52">
        <v>0.2</v>
      </c>
      <c r="T820" s="7" t="s">
        <v>643</v>
      </c>
      <c r="U820" s="92">
        <f>SUMIFS($V$3:$V$785,$AD$3:$AD$785,AD820,$AE$3:$AE$785,AE820)</f>
        <v>3209.58</v>
      </c>
      <c r="V820" s="31">
        <f>S820*U820</f>
        <v>641.91600000000005</v>
      </c>
      <c r="W820" s="35">
        <f>IFERROR(SUM(X5:X665)/SUM(V5:V665),0)</f>
        <v>32.868710310139242</v>
      </c>
      <c r="X820" s="110">
        <f t="shared" ref="X820" si="331">IF(H820="L",V820*W820,0)</f>
        <v>21098.951047443345</v>
      </c>
      <c r="Y820" s="110">
        <f t="shared" ref="Y820" si="332">IF(H820="M",S820*W820,0)</f>
        <v>0</v>
      </c>
      <c r="Z820" s="110">
        <f t="shared" ref="Z820" si="333">IF(H820="S",S820*W820,0)</f>
        <v>0</v>
      </c>
      <c r="AA820" s="110">
        <f t="shared" ref="AA820" si="334">IF(H820="E",G820*S820*W820,0)</f>
        <v>0</v>
      </c>
      <c r="AB820" s="110">
        <f>SUM(X820:AA820)</f>
        <v>21098.951047443345</v>
      </c>
      <c r="AC820" s="371" t="s">
        <v>163</v>
      </c>
      <c r="AD820" s="371" t="s">
        <v>148</v>
      </c>
      <c r="AE820" s="371" t="s">
        <v>149</v>
      </c>
      <c r="AF820" s="371"/>
    </row>
    <row r="821" spans="1:32" hidden="1" x14ac:dyDescent="0.2">
      <c r="A821" s="14" t="str">
        <f t="shared" si="326"/>
        <v/>
      </c>
      <c r="B821" s="69" t="s">
        <v>665</v>
      </c>
      <c r="C821" s="15" t="s">
        <v>13</v>
      </c>
      <c r="D821" s="242"/>
      <c r="E821" s="20"/>
      <c r="F821" s="21"/>
      <c r="G821" s="85"/>
      <c r="H821" s="15"/>
      <c r="I821" s="40"/>
      <c r="J821" s="92"/>
      <c r="K821" s="92"/>
      <c r="L821" s="92"/>
      <c r="M821" s="92"/>
      <c r="N821" s="92"/>
      <c r="O821" s="92"/>
      <c r="P821" s="92"/>
      <c r="Q821" s="92"/>
      <c r="R821" s="92"/>
      <c r="S821" s="313">
        <f>IFERROR(SUM(V817:V820)/C920,"")</f>
        <v>0.19092507515172144</v>
      </c>
      <c r="T821" s="7"/>
      <c r="U821" s="308"/>
      <c r="V821" s="31"/>
      <c r="W821" s="35"/>
      <c r="X821" s="110"/>
      <c r="Y821" s="110"/>
      <c r="Z821" s="110"/>
      <c r="AA821" s="110"/>
      <c r="AB821" s="110"/>
      <c r="AC821" s="371"/>
      <c r="AD821" s="371"/>
      <c r="AE821" s="371"/>
      <c r="AF821" s="371"/>
    </row>
    <row r="822" spans="1:32" ht="13.5" hidden="1" thickBot="1" x14ac:dyDescent="0.25">
      <c r="A822" s="14" t="str">
        <f t="shared" si="326"/>
        <v/>
      </c>
      <c r="B822" s="143" t="s">
        <v>381</v>
      </c>
      <c r="C822" s="15" t="s">
        <v>741</v>
      </c>
      <c r="D822" s="242"/>
      <c r="E822" s="20"/>
      <c r="F822" s="21"/>
      <c r="G822" s="85"/>
      <c r="H822" s="15" t="s">
        <v>66</v>
      </c>
      <c r="I822" s="399"/>
      <c r="J822" s="92"/>
      <c r="K822" s="92"/>
      <c r="L822" s="92"/>
      <c r="M822" s="92"/>
      <c r="N822" s="92"/>
      <c r="O822" s="92"/>
      <c r="P822" s="92"/>
      <c r="Q822" s="92"/>
      <c r="R822" s="92"/>
      <c r="S822" s="15">
        <v>1</v>
      </c>
      <c r="T822" s="7" t="s">
        <v>493</v>
      </c>
      <c r="U822" s="191">
        <v>0</v>
      </c>
      <c r="V822" s="96"/>
      <c r="W822" s="35">
        <v>45</v>
      </c>
      <c r="X822" s="110">
        <f t="shared" si="316"/>
        <v>0</v>
      </c>
      <c r="Y822" s="116">
        <f t="shared" si="317"/>
        <v>0</v>
      </c>
      <c r="Z822" s="110">
        <f t="shared" si="318"/>
        <v>0</v>
      </c>
      <c r="AA822" s="110">
        <f t="shared" si="319"/>
        <v>0</v>
      </c>
      <c r="AB822" s="110">
        <f t="shared" ref="AB822:AB824" si="335">SUM(X822:AA822)</f>
        <v>0</v>
      </c>
      <c r="AC822" s="371" t="s">
        <v>163</v>
      </c>
      <c r="AD822" s="371" t="s">
        <v>170</v>
      </c>
      <c r="AE822" s="371" t="s">
        <v>149</v>
      </c>
      <c r="AF822" s="371"/>
    </row>
    <row r="823" spans="1:32" ht="13.5" hidden="1" thickBot="1" x14ac:dyDescent="0.25">
      <c r="A823" s="14" t="str">
        <f>IF(SUM(AB824:AB826)&lt;&gt;0,"X","")</f>
        <v/>
      </c>
      <c r="B823" s="198" t="s">
        <v>382</v>
      </c>
      <c r="C823" s="200" t="s">
        <v>13</v>
      </c>
      <c r="D823" s="239"/>
      <c r="E823" s="199"/>
      <c r="F823" s="199"/>
      <c r="G823" s="199"/>
      <c r="H823" s="199"/>
      <c r="I823" s="199"/>
      <c r="J823" s="199"/>
      <c r="K823" s="199"/>
      <c r="L823" s="199"/>
      <c r="M823" s="199"/>
      <c r="N823" s="199"/>
      <c r="O823" s="199"/>
      <c r="P823" s="199"/>
      <c r="Q823" s="199"/>
      <c r="R823" s="199"/>
      <c r="S823" s="199"/>
      <c r="T823" s="200"/>
      <c r="U823" s="208"/>
      <c r="V823" s="202"/>
      <c r="W823" s="203"/>
      <c r="X823" s="204">
        <f t="shared" si="316"/>
        <v>0</v>
      </c>
      <c r="Y823" s="204">
        <f t="shared" si="317"/>
        <v>0</v>
      </c>
      <c r="Z823" s="204">
        <f t="shared" si="318"/>
        <v>0</v>
      </c>
      <c r="AA823" s="204">
        <f t="shared" si="319"/>
        <v>0</v>
      </c>
      <c r="AB823" s="205">
        <f>SUM(X823:AA823)</f>
        <v>0</v>
      </c>
      <c r="AC823" s="369"/>
      <c r="AD823" s="369"/>
      <c r="AE823" s="369" t="s">
        <v>13</v>
      </c>
      <c r="AF823" s="369"/>
    </row>
    <row r="824" spans="1:32" hidden="1" x14ac:dyDescent="0.2">
      <c r="A824" s="14" t="str">
        <f>+IF(AB824&lt;&gt;0,"X","")</f>
        <v/>
      </c>
      <c r="B824" s="69" t="s">
        <v>647</v>
      </c>
      <c r="C824" s="15"/>
      <c r="D824" s="349">
        <f>Z824/E824</f>
        <v>0</v>
      </c>
      <c r="E824" s="248">
        <v>200</v>
      </c>
      <c r="F824" s="258">
        <v>0</v>
      </c>
      <c r="G824" s="85"/>
      <c r="H824" s="15" t="s">
        <v>67</v>
      </c>
      <c r="I824" s="381"/>
      <c r="J824" s="381"/>
      <c r="K824" s="381"/>
      <c r="L824" s="381"/>
      <c r="M824" s="381"/>
      <c r="N824" s="381"/>
      <c r="O824" s="381"/>
      <c r="P824" s="381"/>
      <c r="Q824" s="381"/>
      <c r="R824" s="381"/>
      <c r="S824" s="15">
        <v>1</v>
      </c>
      <c r="T824" s="7" t="s">
        <v>491</v>
      </c>
      <c r="U824" s="66"/>
      <c r="V824" s="40"/>
      <c r="W824" s="13">
        <f>SUM(I824:R824)</f>
        <v>0</v>
      </c>
      <c r="X824" s="110">
        <f t="shared" si="316"/>
        <v>0</v>
      </c>
      <c r="Y824" s="110">
        <f t="shared" si="317"/>
        <v>0</v>
      </c>
      <c r="Z824" s="110">
        <f t="shared" si="318"/>
        <v>0</v>
      </c>
      <c r="AA824" s="110">
        <f t="shared" si="319"/>
        <v>0</v>
      </c>
      <c r="AB824" s="110">
        <f t="shared" si="335"/>
        <v>0</v>
      </c>
      <c r="AC824" s="371" t="s">
        <v>163</v>
      </c>
      <c r="AD824" s="371" t="s">
        <v>182</v>
      </c>
      <c r="AE824" s="371" t="s">
        <v>482</v>
      </c>
      <c r="AF824" s="371"/>
    </row>
    <row r="825" spans="1:32" hidden="1" x14ac:dyDescent="0.2">
      <c r="A825" s="14" t="str">
        <f>+IF(AB825&lt;&gt;0,"X","")</f>
        <v/>
      </c>
      <c r="B825" s="69" t="s">
        <v>383</v>
      </c>
      <c r="C825" s="323"/>
      <c r="D825" s="241"/>
      <c r="E825" s="20"/>
      <c r="F825" s="21"/>
      <c r="G825" s="85"/>
      <c r="H825" s="380" t="s">
        <v>65</v>
      </c>
      <c r="I825" s="381"/>
      <c r="J825" s="381"/>
      <c r="K825" s="381"/>
      <c r="L825" s="381"/>
      <c r="M825" s="381"/>
      <c r="N825" s="381"/>
      <c r="O825" s="381"/>
      <c r="P825" s="381"/>
      <c r="Q825" s="381"/>
      <c r="R825" s="381"/>
      <c r="S825" s="15">
        <v>1</v>
      </c>
      <c r="T825" s="7" t="s">
        <v>491</v>
      </c>
      <c r="U825" s="66"/>
      <c r="V825" s="40"/>
      <c r="W825" s="87"/>
      <c r="X825" s="110">
        <f t="shared" ref="X825" si="336">IF(H825="L",V825*W825,0)</f>
        <v>0</v>
      </c>
      <c r="Y825" s="110">
        <f t="shared" ref="Y825:Y831" si="337">IF(H825="M",S825*W825,0)</f>
        <v>0</v>
      </c>
      <c r="Z825" s="110">
        <f t="shared" ref="Z825:Z831" si="338">IF(H825="S",S825*W825,0)</f>
        <v>0</v>
      </c>
      <c r="AA825" s="110">
        <f t="shared" ref="AA825:AA831" si="339">IF(H825="E",G825*S825*W825,0)</f>
        <v>0</v>
      </c>
      <c r="AB825" s="110">
        <f>SUM(X825:AA825)</f>
        <v>0</v>
      </c>
      <c r="AC825" s="382" t="s">
        <v>163</v>
      </c>
      <c r="AD825" s="382" t="s">
        <v>183</v>
      </c>
      <c r="AE825" s="383" t="s">
        <v>13</v>
      </c>
      <c r="AF825" s="382"/>
    </row>
    <row r="826" spans="1:32" ht="13.5" thickBot="1" x14ac:dyDescent="0.25">
      <c r="A826" s="14" t="s">
        <v>5</v>
      </c>
      <c r="B826" s="143" t="s">
        <v>384</v>
      </c>
      <c r="C826" s="15" t="s">
        <v>741</v>
      </c>
      <c r="D826" s="242"/>
      <c r="E826" s="20"/>
      <c r="F826" s="21"/>
      <c r="G826" s="85"/>
      <c r="H826" s="15" t="s">
        <v>66</v>
      </c>
      <c r="I826" s="303"/>
      <c r="J826" s="92"/>
      <c r="K826" s="92"/>
      <c r="L826" s="92"/>
      <c r="M826" s="92"/>
      <c r="N826" s="92"/>
      <c r="O826" s="92"/>
      <c r="P826" s="92"/>
      <c r="Q826" s="92"/>
      <c r="R826" s="92"/>
      <c r="S826" s="30"/>
      <c r="T826" s="7" t="s">
        <v>493</v>
      </c>
      <c r="U826" s="308" t="s">
        <v>13</v>
      </c>
      <c r="V826" s="92" t="s">
        <v>13</v>
      </c>
      <c r="W826" s="87">
        <v>350</v>
      </c>
      <c r="X826" s="110">
        <f>IF(H826="L",S826*W826,0)</f>
        <v>0</v>
      </c>
      <c r="Y826" s="110">
        <f t="shared" si="337"/>
        <v>0</v>
      </c>
      <c r="Z826" s="110">
        <f t="shared" si="338"/>
        <v>0</v>
      </c>
      <c r="AA826" s="110">
        <f t="shared" si="339"/>
        <v>0</v>
      </c>
      <c r="AB826" s="110">
        <f>SUM(X826:AA826)</f>
        <v>0</v>
      </c>
      <c r="AC826" s="371" t="s">
        <v>163</v>
      </c>
      <c r="AD826" s="371" t="s">
        <v>184</v>
      </c>
      <c r="AE826" s="371" t="s">
        <v>149</v>
      </c>
      <c r="AF826" s="371"/>
    </row>
    <row r="827" spans="1:32" ht="13.5" thickBot="1" x14ac:dyDescent="0.25">
      <c r="A827" s="14" t="s">
        <v>5</v>
      </c>
      <c r="B827" s="198" t="s">
        <v>385</v>
      </c>
      <c r="C827" s="200" t="s">
        <v>13</v>
      </c>
      <c r="D827" s="239"/>
      <c r="E827" s="199"/>
      <c r="F827" s="199"/>
      <c r="G827" s="199"/>
      <c r="H827" s="199"/>
      <c r="I827" s="199"/>
      <c r="J827" s="199"/>
      <c r="K827" s="199"/>
      <c r="L827" s="199"/>
      <c r="M827" s="199"/>
      <c r="N827" s="199"/>
      <c r="O827" s="199"/>
      <c r="P827" s="199"/>
      <c r="Q827" s="199"/>
      <c r="R827" s="199"/>
      <c r="S827" s="199"/>
      <c r="T827" s="200"/>
      <c r="U827" s="208"/>
      <c r="V827" s="202"/>
      <c r="W827" s="203"/>
      <c r="X827" s="204">
        <f t="shared" ref="X827:X833" si="340">IF(H827="L",V827*W827,0)</f>
        <v>0</v>
      </c>
      <c r="Y827" s="204">
        <f t="shared" si="337"/>
        <v>0</v>
      </c>
      <c r="Z827" s="204">
        <f t="shared" si="338"/>
        <v>0</v>
      </c>
      <c r="AA827" s="204">
        <f t="shared" si="339"/>
        <v>0</v>
      </c>
      <c r="AB827" s="205">
        <f>SUM(X827:AA827)</f>
        <v>0</v>
      </c>
      <c r="AC827" s="369"/>
      <c r="AD827" s="369"/>
      <c r="AE827" s="369" t="s">
        <v>13</v>
      </c>
      <c r="AF827" s="369"/>
    </row>
    <row r="828" spans="1:32" x14ac:dyDescent="0.2">
      <c r="A828" s="14" t="s">
        <v>5</v>
      </c>
      <c r="B828" s="69" t="s">
        <v>386</v>
      </c>
      <c r="C828" s="85" t="s">
        <v>13</v>
      </c>
      <c r="D828" s="242"/>
      <c r="E828" s="20"/>
      <c r="F828" s="21"/>
      <c r="G828" s="85"/>
      <c r="H828" s="85"/>
      <c r="I828" s="400"/>
      <c r="J828" s="85"/>
      <c r="K828" s="85"/>
      <c r="L828" s="85"/>
      <c r="M828" s="85"/>
      <c r="N828" s="85"/>
      <c r="O828" s="85"/>
      <c r="P828" s="85"/>
      <c r="Q828" s="85"/>
      <c r="R828" s="85"/>
      <c r="S828" s="15">
        <v>5</v>
      </c>
      <c r="T828" s="7" t="s">
        <v>115</v>
      </c>
      <c r="U828" s="308" t="s">
        <v>13</v>
      </c>
      <c r="V828" s="92" t="s">
        <v>13</v>
      </c>
      <c r="W828" s="92" t="s">
        <v>13</v>
      </c>
      <c r="X828" s="110">
        <f t="shared" si="340"/>
        <v>0</v>
      </c>
      <c r="Y828" s="110">
        <f t="shared" si="337"/>
        <v>0</v>
      </c>
      <c r="Z828" s="110">
        <f t="shared" si="338"/>
        <v>0</v>
      </c>
      <c r="AA828" s="110">
        <f t="shared" si="339"/>
        <v>0</v>
      </c>
      <c r="AB828" s="110"/>
      <c r="AC828" s="21"/>
      <c r="AD828" s="21"/>
      <c r="AE828" s="21"/>
      <c r="AF828" s="21"/>
    </row>
    <row r="829" spans="1:32" x14ac:dyDescent="0.2">
      <c r="A829" s="14" t="s">
        <v>5</v>
      </c>
      <c r="B829" s="69" t="s">
        <v>387</v>
      </c>
      <c r="C829" s="85" t="s">
        <v>13</v>
      </c>
      <c r="D829" s="242"/>
      <c r="E829" s="20"/>
      <c r="F829" s="21"/>
      <c r="G829" s="85"/>
      <c r="H829" s="85"/>
      <c r="I829" s="395"/>
      <c r="J829" s="85"/>
      <c r="K829" s="85"/>
      <c r="L829" s="85"/>
      <c r="M829" s="85"/>
      <c r="N829" s="85"/>
      <c r="O829" s="85"/>
      <c r="P829" s="85"/>
      <c r="Q829" s="85"/>
      <c r="R829" s="85"/>
      <c r="S829" s="15">
        <v>10</v>
      </c>
      <c r="T829" s="7" t="s">
        <v>115</v>
      </c>
      <c r="U829" s="308" t="s">
        <v>13</v>
      </c>
      <c r="V829" s="92" t="s">
        <v>13</v>
      </c>
      <c r="W829" s="92" t="s">
        <v>13</v>
      </c>
      <c r="X829" s="110">
        <f t="shared" si="340"/>
        <v>0</v>
      </c>
      <c r="Y829" s="110">
        <f t="shared" si="337"/>
        <v>0</v>
      </c>
      <c r="Z829" s="110">
        <f t="shared" si="338"/>
        <v>0</v>
      </c>
      <c r="AA829" s="110">
        <f t="shared" si="339"/>
        <v>0</v>
      </c>
      <c r="AB829" s="110"/>
      <c r="AC829" s="21"/>
      <c r="AD829" s="21"/>
      <c r="AE829" s="21"/>
      <c r="AF829" s="21"/>
    </row>
    <row r="830" spans="1:32" x14ac:dyDescent="0.2">
      <c r="A830" s="14" t="s">
        <v>5</v>
      </c>
      <c r="B830" s="69" t="s">
        <v>388</v>
      </c>
      <c r="C830" s="85" t="s">
        <v>13</v>
      </c>
      <c r="D830" s="242"/>
      <c r="E830" s="20"/>
      <c r="F830" s="21"/>
      <c r="G830" s="85"/>
      <c r="H830" s="85"/>
      <c r="I830" s="395"/>
      <c r="J830" s="85"/>
      <c r="K830" s="85"/>
      <c r="L830" s="85"/>
      <c r="M830" s="85"/>
      <c r="N830" s="85"/>
      <c r="O830" s="85"/>
      <c r="P830" s="85"/>
      <c r="Q830" s="85"/>
      <c r="R830" s="85"/>
      <c r="S830" s="7">
        <f>S828*S829</f>
        <v>50</v>
      </c>
      <c r="T830" s="7" t="s">
        <v>504</v>
      </c>
      <c r="U830" s="308" t="s">
        <v>13</v>
      </c>
      <c r="V830" s="92" t="s">
        <v>13</v>
      </c>
      <c r="W830" s="92" t="s">
        <v>13</v>
      </c>
      <c r="X830" s="110">
        <f t="shared" si="340"/>
        <v>0</v>
      </c>
      <c r="Y830" s="110">
        <f t="shared" si="337"/>
        <v>0</v>
      </c>
      <c r="Z830" s="110">
        <f t="shared" si="338"/>
        <v>0</v>
      </c>
      <c r="AA830" s="110">
        <f t="shared" si="339"/>
        <v>0</v>
      </c>
      <c r="AB830" s="110"/>
      <c r="AC830" s="21"/>
      <c r="AD830" s="21"/>
      <c r="AE830" s="21"/>
      <c r="AF830" s="21"/>
    </row>
    <row r="831" spans="1:32" x14ac:dyDescent="0.2">
      <c r="A831" s="14" t="s">
        <v>5</v>
      </c>
      <c r="B831" s="69" t="s">
        <v>389</v>
      </c>
      <c r="C831" s="85" t="s">
        <v>13</v>
      </c>
      <c r="D831" s="242"/>
      <c r="E831" s="20"/>
      <c r="F831" s="21"/>
      <c r="G831" s="85"/>
      <c r="H831" s="85"/>
      <c r="I831" s="395"/>
      <c r="J831" s="85"/>
      <c r="K831" s="85"/>
      <c r="L831" s="85"/>
      <c r="M831" s="85"/>
      <c r="N831" s="85"/>
      <c r="O831" s="85"/>
      <c r="P831" s="85"/>
      <c r="Q831" s="85"/>
      <c r="R831" s="85"/>
      <c r="S831" s="7">
        <f>$S$830*4.33</f>
        <v>216.5</v>
      </c>
      <c r="T831" s="7" t="s">
        <v>505</v>
      </c>
      <c r="U831" s="308" t="s">
        <v>13</v>
      </c>
      <c r="V831" s="92" t="s">
        <v>13</v>
      </c>
      <c r="W831" s="92" t="s">
        <v>13</v>
      </c>
      <c r="X831" s="110">
        <f t="shared" si="340"/>
        <v>0</v>
      </c>
      <c r="Y831" s="110">
        <f t="shared" si="337"/>
        <v>0</v>
      </c>
      <c r="Z831" s="110">
        <f t="shared" si="338"/>
        <v>0</v>
      </c>
      <c r="AA831" s="110">
        <f t="shared" si="339"/>
        <v>0</v>
      </c>
      <c r="AB831" s="110"/>
      <c r="AC831" s="21"/>
      <c r="AD831" s="21"/>
      <c r="AE831" s="21"/>
      <c r="AF831" s="21"/>
    </row>
    <row r="832" spans="1:32" ht="13.5" thickBot="1" x14ac:dyDescent="0.25">
      <c r="A832" s="14" t="s">
        <v>5</v>
      </c>
      <c r="B832" s="69" t="s">
        <v>390</v>
      </c>
      <c r="C832" s="85" t="s">
        <v>13</v>
      </c>
      <c r="D832" s="242"/>
      <c r="E832" s="20"/>
      <c r="F832" s="21"/>
      <c r="G832" s="85"/>
      <c r="H832" s="85"/>
      <c r="I832" s="395"/>
      <c r="J832" s="85"/>
      <c r="K832" s="85"/>
      <c r="L832" s="85"/>
      <c r="M832" s="85"/>
      <c r="N832" s="85"/>
      <c r="O832" s="85"/>
      <c r="P832" s="85"/>
      <c r="Q832" s="85"/>
      <c r="R832" s="85"/>
      <c r="S832" s="89">
        <f>Work_Hr_Mo/S829</f>
        <v>21.65</v>
      </c>
      <c r="T832" s="9" t="s">
        <v>506</v>
      </c>
      <c r="U832" s="308" t="s">
        <v>13</v>
      </c>
      <c r="V832" s="92" t="s">
        <v>13</v>
      </c>
      <c r="W832" s="92" t="s">
        <v>13</v>
      </c>
      <c r="X832" s="110">
        <f t="shared" si="340"/>
        <v>0</v>
      </c>
      <c r="Y832" s="110">
        <f>IF(H832="M",S831*W832,0)</f>
        <v>0</v>
      </c>
      <c r="Z832" s="110">
        <f>IF(H832="S",S831*W832,0)</f>
        <v>0</v>
      </c>
      <c r="AA832" s="110">
        <f>IF(H832="E",G832*S831*W832,0)</f>
        <v>0</v>
      </c>
      <c r="AB832" s="110"/>
      <c r="AC832" s="21"/>
      <c r="AD832" s="21"/>
      <c r="AE832" s="21"/>
      <c r="AF832" s="21"/>
    </row>
    <row r="833" spans="1:32" ht="13.5" thickBot="1" x14ac:dyDescent="0.25">
      <c r="A833" s="14" t="str">
        <f>IF(SUM(AB834:AB840)&lt;&gt;0,"X","")</f>
        <v>X</v>
      </c>
      <c r="B833" s="198" t="s">
        <v>391</v>
      </c>
      <c r="C833" s="200" t="s">
        <v>13</v>
      </c>
      <c r="D833" s="239"/>
      <c r="E833" s="199"/>
      <c r="F833" s="199"/>
      <c r="G833" s="199"/>
      <c r="H833" s="199"/>
      <c r="I833" s="199"/>
      <c r="J833" s="199"/>
      <c r="K833" s="199"/>
      <c r="L833" s="199"/>
      <c r="M833" s="199"/>
      <c r="N833" s="199"/>
      <c r="O833" s="199"/>
      <c r="P833" s="199"/>
      <c r="Q833" s="199"/>
      <c r="R833" s="199"/>
      <c r="S833" s="199"/>
      <c r="T833" s="200"/>
      <c r="U833" s="208"/>
      <c r="V833" s="202"/>
      <c r="W833" s="203"/>
      <c r="X833" s="204">
        <f t="shared" si="340"/>
        <v>0</v>
      </c>
      <c r="Y833" s="204">
        <f t="shared" ref="Y833:Y839" si="341">IF(H833="M",S833*W833,0)</f>
        <v>0</v>
      </c>
      <c r="Z833" s="204">
        <f t="shared" ref="Z833:Z839" si="342">IF(H833="S",S833*W833,0)</f>
        <v>0</v>
      </c>
      <c r="AA833" s="204">
        <f t="shared" ref="AA833:AA839" si="343">IF(H833="E",G833*S833*W833,0)</f>
        <v>0</v>
      </c>
      <c r="AB833" s="205">
        <f t="shared" ref="AB833:AB840" si="344">SUM(X833:AA833)</f>
        <v>0</v>
      </c>
      <c r="AC833" s="369"/>
      <c r="AD833" s="369"/>
      <c r="AE833" s="369" t="s">
        <v>13</v>
      </c>
      <c r="AF833" s="369"/>
    </row>
    <row r="834" spans="1:32" x14ac:dyDescent="0.2">
      <c r="A834" s="14" t="str">
        <f t="shared" ref="A834:A840" si="345">+IF(AB834&lt;&gt;0,"X","")</f>
        <v>X</v>
      </c>
      <c r="B834" s="69" t="s">
        <v>392</v>
      </c>
      <c r="C834" s="52" t="s">
        <v>741</v>
      </c>
      <c r="D834" s="242"/>
      <c r="E834" s="20"/>
      <c r="F834" s="21"/>
      <c r="G834" s="255"/>
      <c r="H834" s="15" t="s">
        <v>66</v>
      </c>
      <c r="I834" s="401"/>
      <c r="J834" s="255"/>
      <c r="K834" s="255"/>
      <c r="L834" s="255"/>
      <c r="M834" s="255"/>
      <c r="N834" s="255"/>
      <c r="O834" s="255"/>
      <c r="P834" s="255"/>
      <c r="Q834" s="255"/>
      <c r="R834" s="255"/>
      <c r="S834" s="122">
        <v>0.22558529668176414</v>
      </c>
      <c r="T834" s="7" t="s">
        <v>19</v>
      </c>
      <c r="U834" s="308" t="s">
        <v>13</v>
      </c>
      <c r="V834" s="92" t="s">
        <v>13</v>
      </c>
      <c r="W834" s="110">
        <f>SUMIFS($X$3:$X$832,$AE$3:$AE$832,AE834)</f>
        <v>131027.26137779497</v>
      </c>
      <c r="X834" s="110">
        <f t="shared" ref="X834:X840" si="346">IF(H834="L",S834*W834,0)</f>
        <v>29557.823631308933</v>
      </c>
      <c r="Y834" s="110">
        <f t="shared" si="341"/>
        <v>0</v>
      </c>
      <c r="Z834" s="110">
        <f t="shared" si="342"/>
        <v>0</v>
      </c>
      <c r="AA834" s="110">
        <f t="shared" si="343"/>
        <v>0</v>
      </c>
      <c r="AB834" s="110">
        <f t="shared" si="344"/>
        <v>29557.823631308933</v>
      </c>
      <c r="AC834" s="371" t="s">
        <v>163</v>
      </c>
      <c r="AD834" s="371"/>
      <c r="AE834" s="371" t="s">
        <v>149</v>
      </c>
      <c r="AF834" s="371"/>
    </row>
    <row r="835" spans="1:32" hidden="1" x14ac:dyDescent="0.2">
      <c r="A835" s="14" t="str">
        <f t="shared" ref="A835" si="347">+IF(AB835&lt;&gt;0,"X","")</f>
        <v/>
      </c>
      <c r="B835" s="69" t="s">
        <v>393</v>
      </c>
      <c r="C835" s="52" t="s">
        <v>776</v>
      </c>
      <c r="D835" s="242"/>
      <c r="E835" s="20"/>
      <c r="F835" s="21"/>
      <c r="G835" s="255"/>
      <c r="H835" s="15" t="s">
        <v>66</v>
      </c>
      <c r="I835" s="402"/>
      <c r="J835" s="255"/>
      <c r="K835" s="255"/>
      <c r="L835" s="255"/>
      <c r="M835" s="255"/>
      <c r="N835" s="255"/>
      <c r="O835" s="255"/>
      <c r="P835" s="255"/>
      <c r="Q835" s="255"/>
      <c r="R835" s="255"/>
      <c r="S835" s="122">
        <v>0.22558529668176414</v>
      </c>
      <c r="T835" s="7" t="s">
        <v>19</v>
      </c>
      <c r="U835" s="308" t="s">
        <v>13</v>
      </c>
      <c r="V835" s="92" t="s">
        <v>13</v>
      </c>
      <c r="W835" s="110">
        <f>SUMIFS($X$3:$X$832,$AE$3:$AE$832,AE835)</f>
        <v>0</v>
      </c>
      <c r="X835" s="110">
        <f t="shared" si="346"/>
        <v>0</v>
      </c>
      <c r="Y835" s="110">
        <f t="shared" si="341"/>
        <v>0</v>
      </c>
      <c r="Z835" s="110">
        <f t="shared" si="342"/>
        <v>0</v>
      </c>
      <c r="AA835" s="110">
        <f t="shared" si="343"/>
        <v>0</v>
      </c>
      <c r="AB835" s="110">
        <f t="shared" ref="AB835" si="348">SUM(X835:AA835)</f>
        <v>0</v>
      </c>
      <c r="AC835" s="371" t="s">
        <v>163</v>
      </c>
      <c r="AD835" s="371"/>
      <c r="AE835" s="371" t="s">
        <v>153</v>
      </c>
      <c r="AF835" s="371"/>
    </row>
    <row r="836" spans="1:32" hidden="1" x14ac:dyDescent="0.2">
      <c r="A836" s="14" t="str">
        <f t="shared" si="345"/>
        <v/>
      </c>
      <c r="B836" s="69" t="s">
        <v>394</v>
      </c>
      <c r="C836" s="52" t="s">
        <v>777</v>
      </c>
      <c r="D836" s="242"/>
      <c r="E836" s="20"/>
      <c r="F836" s="21"/>
      <c r="G836" s="255"/>
      <c r="H836" s="15" t="s">
        <v>66</v>
      </c>
      <c r="I836" s="402"/>
      <c r="J836" s="255"/>
      <c r="K836" s="255"/>
      <c r="L836" s="255"/>
      <c r="M836" s="255"/>
      <c r="N836" s="255"/>
      <c r="O836" s="255"/>
      <c r="P836" s="255"/>
      <c r="Q836" s="255"/>
      <c r="R836" s="255"/>
      <c r="S836" s="122">
        <v>0.39232347050858818</v>
      </c>
      <c r="T836" s="7" t="s">
        <v>19</v>
      </c>
      <c r="U836" s="308" t="s">
        <v>13</v>
      </c>
      <c r="V836" s="92" t="s">
        <v>13</v>
      </c>
      <c r="W836" s="110">
        <f>SUMIFS($X$3:$X$832,$AE$3:$AE$832,AE836)</f>
        <v>0</v>
      </c>
      <c r="X836" s="110">
        <f t="shared" si="346"/>
        <v>0</v>
      </c>
      <c r="Y836" s="110">
        <f t="shared" si="341"/>
        <v>0</v>
      </c>
      <c r="Z836" s="110">
        <f t="shared" si="342"/>
        <v>0</v>
      </c>
      <c r="AA836" s="110">
        <f t="shared" si="343"/>
        <v>0</v>
      </c>
      <c r="AB836" s="110">
        <f t="shared" si="344"/>
        <v>0</v>
      </c>
      <c r="AC836" s="371" t="s">
        <v>163</v>
      </c>
      <c r="AD836" s="371"/>
      <c r="AE836" s="371" t="s">
        <v>181</v>
      </c>
      <c r="AF836" s="371"/>
    </row>
    <row r="837" spans="1:32" hidden="1" x14ac:dyDescent="0.2">
      <c r="A837" s="14" t="str">
        <f t="shared" si="345"/>
        <v/>
      </c>
      <c r="B837" s="69" t="s">
        <v>395</v>
      </c>
      <c r="C837" s="52" t="s">
        <v>741</v>
      </c>
      <c r="D837" s="242"/>
      <c r="E837" s="20"/>
      <c r="F837" s="21"/>
      <c r="G837" s="255"/>
      <c r="H837" s="15" t="s">
        <v>66</v>
      </c>
      <c r="I837" s="402"/>
      <c r="J837" s="255"/>
      <c r="K837" s="255"/>
      <c r="L837" s="255"/>
      <c r="M837" s="255"/>
      <c r="N837" s="255"/>
      <c r="O837" s="255"/>
      <c r="P837" s="255"/>
      <c r="Q837" s="255"/>
      <c r="R837" s="255"/>
      <c r="S837" s="122">
        <v>0</v>
      </c>
      <c r="T837" s="7" t="s">
        <v>19</v>
      </c>
      <c r="U837" s="308" t="s">
        <v>13</v>
      </c>
      <c r="V837" s="92" t="s">
        <v>13</v>
      </c>
      <c r="W837" s="110">
        <f>SUM(X3:X822)</f>
        <v>131027.26137779497</v>
      </c>
      <c r="X837" s="110">
        <f t="shared" si="346"/>
        <v>0</v>
      </c>
      <c r="Y837" s="110">
        <f t="shared" si="341"/>
        <v>0</v>
      </c>
      <c r="Z837" s="110">
        <f t="shared" si="342"/>
        <v>0</v>
      </c>
      <c r="AA837" s="110">
        <f t="shared" si="343"/>
        <v>0</v>
      </c>
      <c r="AB837" s="110">
        <f t="shared" ref="AB837" si="349">SUM(X837:AA837)</f>
        <v>0</v>
      </c>
      <c r="AC837" s="371" t="s">
        <v>163</v>
      </c>
      <c r="AD837" s="371"/>
      <c r="AE837" s="371" t="s">
        <v>149</v>
      </c>
      <c r="AF837" s="371"/>
    </row>
    <row r="838" spans="1:32" x14ac:dyDescent="0.2">
      <c r="A838" s="14" t="str">
        <f t="shared" si="345"/>
        <v>X</v>
      </c>
      <c r="B838" s="69" t="s">
        <v>396</v>
      </c>
      <c r="C838" s="52" t="s">
        <v>741</v>
      </c>
      <c r="D838" s="242"/>
      <c r="E838" s="20"/>
      <c r="F838" s="21"/>
      <c r="G838" s="255"/>
      <c r="H838" s="15" t="s">
        <v>66</v>
      </c>
      <c r="I838" s="402"/>
      <c r="J838" s="255"/>
      <c r="K838" s="255"/>
      <c r="L838" s="255"/>
      <c r="M838" s="255"/>
      <c r="N838" s="255"/>
      <c r="O838" s="255"/>
      <c r="P838" s="255"/>
      <c r="Q838" s="255"/>
      <c r="R838" s="255"/>
      <c r="S838" s="28">
        <f>((40+($S$830-40)*1.5)/$S$830-1)</f>
        <v>0.10000000000000009</v>
      </c>
      <c r="T838" s="7" t="s">
        <v>19</v>
      </c>
      <c r="U838" s="308" t="s">
        <v>13</v>
      </c>
      <c r="V838" s="92" t="s">
        <v>13</v>
      </c>
      <c r="W838" s="110">
        <f>SUM(W834,50%*X834)</f>
        <v>145806.17319344945</v>
      </c>
      <c r="X838" s="110">
        <f t="shared" si="346"/>
        <v>14580.617319344958</v>
      </c>
      <c r="Y838" s="110">
        <f t="shared" si="341"/>
        <v>0</v>
      </c>
      <c r="Z838" s="110">
        <f t="shared" si="342"/>
        <v>0</v>
      </c>
      <c r="AA838" s="110">
        <f t="shared" si="343"/>
        <v>0</v>
      </c>
      <c r="AB838" s="110">
        <f t="shared" si="344"/>
        <v>14580.617319344958</v>
      </c>
      <c r="AC838" s="371" t="s">
        <v>163</v>
      </c>
      <c r="AD838" s="371"/>
      <c r="AE838" s="371" t="s">
        <v>149</v>
      </c>
      <c r="AF838" s="371"/>
    </row>
    <row r="839" spans="1:32" hidden="1" x14ac:dyDescent="0.2">
      <c r="A839" s="14" t="str">
        <f t="shared" ref="A839" si="350">+IF(AB839&lt;&gt;0,"X","")</f>
        <v/>
      </c>
      <c r="B839" s="69" t="s">
        <v>397</v>
      </c>
      <c r="C839" s="52"/>
      <c r="D839" s="242"/>
      <c r="E839" s="20"/>
      <c r="F839" s="21"/>
      <c r="G839" s="255"/>
      <c r="H839" s="15" t="s">
        <v>66</v>
      </c>
      <c r="I839" s="402"/>
      <c r="J839" s="255"/>
      <c r="K839" s="255"/>
      <c r="L839" s="255"/>
      <c r="M839" s="255"/>
      <c r="N839" s="255"/>
      <c r="O839" s="255"/>
      <c r="P839" s="255"/>
      <c r="Q839" s="255"/>
      <c r="R839" s="255"/>
      <c r="S839" s="28">
        <f>((40+($S$830-40)*1.5)/$S$830-1)</f>
        <v>0.10000000000000009</v>
      </c>
      <c r="T839" s="7" t="s">
        <v>19</v>
      </c>
      <c r="U839" s="308" t="s">
        <v>13</v>
      </c>
      <c r="V839" s="92" t="s">
        <v>13</v>
      </c>
      <c r="W839" s="110">
        <f>SUM(W835,50%*X835)</f>
        <v>0</v>
      </c>
      <c r="X839" s="110">
        <f t="shared" si="346"/>
        <v>0</v>
      </c>
      <c r="Y839" s="110">
        <f t="shared" si="341"/>
        <v>0</v>
      </c>
      <c r="Z839" s="110">
        <f t="shared" si="342"/>
        <v>0</v>
      </c>
      <c r="AA839" s="110">
        <f t="shared" si="343"/>
        <v>0</v>
      </c>
      <c r="AB839" s="110">
        <f t="shared" ref="AB839" si="351">SUM(X839:AA839)</f>
        <v>0</v>
      </c>
      <c r="AC839" s="371" t="s">
        <v>163</v>
      </c>
      <c r="AD839" s="371"/>
      <c r="AE839" s="371" t="s">
        <v>153</v>
      </c>
      <c r="AF839" s="371"/>
    </row>
    <row r="840" spans="1:32" hidden="1" x14ac:dyDescent="0.2">
      <c r="A840" s="14" t="str">
        <f t="shared" si="345"/>
        <v/>
      </c>
      <c r="B840" s="69" t="s">
        <v>398</v>
      </c>
      <c r="C840" s="15"/>
      <c r="D840" s="242"/>
      <c r="E840" s="20"/>
      <c r="F840" s="21"/>
      <c r="G840" s="85"/>
      <c r="H840" s="15" t="s">
        <v>66</v>
      </c>
      <c r="I840" s="402"/>
      <c r="J840" s="255"/>
      <c r="K840" s="255"/>
      <c r="L840" s="255"/>
      <c r="M840" s="255"/>
      <c r="N840" s="255"/>
      <c r="O840" s="255"/>
      <c r="P840" s="255"/>
      <c r="Q840" s="255"/>
      <c r="R840" s="255"/>
      <c r="S840" s="28">
        <f>((40+($S$830-40)*1.5)/$S$830-1)</f>
        <v>0.10000000000000009</v>
      </c>
      <c r="T840" s="7" t="s">
        <v>19</v>
      </c>
      <c r="U840" s="308" t="s">
        <v>13</v>
      </c>
      <c r="V840" s="92" t="s">
        <v>13</v>
      </c>
      <c r="W840" s="110">
        <f>SUMIFS(X787:X811,G787:G811,"Y")*(1+50%*S836)</f>
        <v>0</v>
      </c>
      <c r="X840" s="110">
        <f t="shared" si="346"/>
        <v>0</v>
      </c>
      <c r="Y840" s="110">
        <f>IF(H840="M",#REF!*W840,0)</f>
        <v>0</v>
      </c>
      <c r="Z840" s="110">
        <f>IF(H840="S",#REF!*W840,0)</f>
        <v>0</v>
      </c>
      <c r="AA840" s="110">
        <f>IF(H840="E",#REF!*#REF!*W840,0)</f>
        <v>0</v>
      </c>
      <c r="AB840" s="110">
        <f t="shared" si="344"/>
        <v>0</v>
      </c>
      <c r="AC840" s="371" t="s">
        <v>163</v>
      </c>
      <c r="AD840" s="371"/>
      <c r="AE840" s="371" t="s">
        <v>181</v>
      </c>
      <c r="AF840" s="371"/>
    </row>
    <row r="841" spans="1:32" ht="13.5" hidden="1" thickBot="1" x14ac:dyDescent="0.25">
      <c r="A841" s="14" t="str">
        <f>IF(SUM(AB842:AB845)&lt;&gt;0,"X","")</f>
        <v/>
      </c>
      <c r="B841" s="198" t="s">
        <v>399</v>
      </c>
      <c r="C841" s="200" t="s">
        <v>13</v>
      </c>
      <c r="D841" s="239"/>
      <c r="E841" s="199"/>
      <c r="F841" s="200"/>
      <c r="G841" s="199"/>
      <c r="H841" s="199"/>
      <c r="I841" s="199"/>
      <c r="J841" s="199"/>
      <c r="K841" s="199"/>
      <c r="L841" s="199"/>
      <c r="M841" s="199"/>
      <c r="N841" s="199"/>
      <c r="O841" s="199"/>
      <c r="P841" s="199"/>
      <c r="Q841" s="199"/>
      <c r="R841" s="199"/>
      <c r="S841" s="200"/>
      <c r="T841" s="200"/>
      <c r="U841" s="208"/>
      <c r="V841" s="202"/>
      <c r="W841" s="203"/>
      <c r="X841" s="204">
        <f>IF(H841="L",V841*W841,0)</f>
        <v>0</v>
      </c>
      <c r="Y841" s="204">
        <f>IF(H841="M",S841*W841,0)</f>
        <v>0</v>
      </c>
      <c r="Z841" s="204">
        <f>IF(H841="S",S841*W841,0)</f>
        <v>0</v>
      </c>
      <c r="AA841" s="204">
        <f>IF(H841="E",G841*S841*W841,0)</f>
        <v>0</v>
      </c>
      <c r="AB841" s="205"/>
      <c r="AC841" s="369"/>
      <c r="AD841" s="369"/>
      <c r="AE841" s="369" t="s">
        <v>13</v>
      </c>
      <c r="AF841" s="369"/>
    </row>
    <row r="842" spans="1:32" hidden="1" x14ac:dyDescent="0.2">
      <c r="A842" s="14" t="str">
        <f>+IF(SUM(AB843:AB845)&lt;&gt;0,"X","")</f>
        <v/>
      </c>
      <c r="B842" s="75" t="s">
        <v>400</v>
      </c>
      <c r="C842" s="350"/>
      <c r="D842" s="225"/>
      <c r="E842" s="54" t="s">
        <v>16</v>
      </c>
      <c r="F842" s="55" t="s">
        <v>18</v>
      </c>
      <c r="G842" s="224" t="s">
        <v>779</v>
      </c>
      <c r="H842" s="403"/>
      <c r="I842" s="404"/>
      <c r="J842" s="36"/>
      <c r="K842" s="36"/>
      <c r="L842" s="36"/>
      <c r="M842" s="36"/>
      <c r="N842" s="36"/>
      <c r="O842" s="36"/>
      <c r="P842" s="36"/>
      <c r="Q842" s="36"/>
      <c r="R842" s="36"/>
      <c r="S842" s="36"/>
      <c r="T842" s="36"/>
      <c r="U842" s="136"/>
      <c r="V842" s="97"/>
      <c r="W842" s="56" t="s">
        <v>17</v>
      </c>
      <c r="X842" s="109">
        <f>IF(H842="L",V842*W842,0)</f>
        <v>0</v>
      </c>
      <c r="Y842" s="109">
        <f>IF(H842="M",S842*W842,0)</f>
        <v>0</v>
      </c>
      <c r="Z842" s="109">
        <f>IF(H842="S",S842*W842,0)</f>
        <v>0</v>
      </c>
      <c r="AA842" s="109">
        <f>IF(H842="E",G842*S842*W842,0)</f>
        <v>0</v>
      </c>
      <c r="AB842" s="109"/>
      <c r="AC842" s="405"/>
      <c r="AD842" s="405"/>
      <c r="AE842" s="405"/>
      <c r="AF842" s="405"/>
    </row>
    <row r="843" spans="1:32" hidden="1" x14ac:dyDescent="0.2">
      <c r="A843" s="14" t="str">
        <f>+IF(AB843&lt;&gt;0,"X","")</f>
        <v/>
      </c>
      <c r="B843" s="72" t="s">
        <v>401</v>
      </c>
      <c r="C843" s="52"/>
      <c r="D843" s="242"/>
      <c r="E843" s="28">
        <v>0</v>
      </c>
      <c r="F843" s="57">
        <v>7</v>
      </c>
      <c r="G843" s="429">
        <v>90</v>
      </c>
      <c r="H843" s="15" t="s">
        <v>66</v>
      </c>
      <c r="I843" s="27"/>
      <c r="J843" s="27"/>
      <c r="K843" s="27"/>
      <c r="L843" s="27"/>
      <c r="M843" s="27"/>
      <c r="N843" s="27"/>
      <c r="O843" s="27"/>
      <c r="P843" s="27"/>
      <c r="Q843" s="27"/>
      <c r="R843" s="27"/>
      <c r="S843" s="40">
        <f>SUMIFS($V$2:$V$840,$AE$2:$AE$840,AE843)</f>
        <v>3966.9749999999999</v>
      </c>
      <c r="T843" s="7" t="s">
        <v>492</v>
      </c>
      <c r="U843" s="66"/>
      <c r="V843" s="40"/>
      <c r="W843" s="35">
        <f>E843*F843*G843/S$830</f>
        <v>0</v>
      </c>
      <c r="X843" s="110">
        <f>IF(H843="L",S843*W843,0)</f>
        <v>0</v>
      </c>
      <c r="Y843" s="110">
        <f>IF(H843="M",S843*W843,0)</f>
        <v>0</v>
      </c>
      <c r="Z843" s="110">
        <f>IF(H843="S",S843*W843,0)</f>
        <v>0</v>
      </c>
      <c r="AA843" s="110">
        <f>IF(H843="E",G843*S843*W843,0)</f>
        <v>0</v>
      </c>
      <c r="AB843" s="110">
        <f>SUM(X843:AA843)</f>
        <v>0</v>
      </c>
      <c r="AC843" s="371" t="s">
        <v>163</v>
      </c>
      <c r="AD843" s="371"/>
      <c r="AE843" s="371" t="s">
        <v>149</v>
      </c>
      <c r="AF843" s="371"/>
    </row>
    <row r="844" spans="1:32" hidden="1" x14ac:dyDescent="0.2">
      <c r="A844" s="14" t="str">
        <f>+IF(AB844&lt;&gt;0,"X","")</f>
        <v/>
      </c>
      <c r="B844" s="72" t="s">
        <v>402</v>
      </c>
      <c r="C844" s="52"/>
      <c r="D844" s="242"/>
      <c r="E844" s="28">
        <v>0</v>
      </c>
      <c r="F844" s="57">
        <v>7</v>
      </c>
      <c r="G844" s="429">
        <v>95</v>
      </c>
      <c r="H844" s="15" t="s">
        <v>66</v>
      </c>
      <c r="I844" s="27"/>
      <c r="J844" s="27"/>
      <c r="K844" s="27"/>
      <c r="L844" s="27"/>
      <c r="M844" s="27"/>
      <c r="N844" s="27"/>
      <c r="O844" s="27"/>
      <c r="P844" s="27"/>
      <c r="Q844" s="27"/>
      <c r="R844" s="27"/>
      <c r="S844" s="40">
        <f>SUMIFS($V$2:$V$840,$AE$2:$AE$840,AE844)</f>
        <v>0</v>
      </c>
      <c r="T844" s="7" t="s">
        <v>492</v>
      </c>
      <c r="U844" s="66"/>
      <c r="V844" s="40"/>
      <c r="W844" s="35">
        <f>E844*F844*G844/S$830</f>
        <v>0</v>
      </c>
      <c r="X844" s="110">
        <f>IF(H844="L",S844*W844,0)</f>
        <v>0</v>
      </c>
      <c r="Y844" s="110">
        <f>IF(H844="M",S844*W844,0)</f>
        <v>0</v>
      </c>
      <c r="Z844" s="110">
        <f>IF(H844="S",S844*W844,0)</f>
        <v>0</v>
      </c>
      <c r="AA844" s="110">
        <f>IF(H844="E",G844*S844*W844,0)</f>
        <v>0</v>
      </c>
      <c r="AB844" s="110">
        <f>SUM(X844:AA844)</f>
        <v>0</v>
      </c>
      <c r="AC844" s="371" t="s">
        <v>163</v>
      </c>
      <c r="AD844" s="371"/>
      <c r="AE844" s="371" t="s">
        <v>153</v>
      </c>
      <c r="AF844" s="371"/>
    </row>
    <row r="845" spans="1:32" hidden="1" x14ac:dyDescent="0.2">
      <c r="A845" s="14" t="str">
        <f>+IF(AB845&lt;&gt;0,"X","")</f>
        <v/>
      </c>
      <c r="B845" s="72" t="s">
        <v>403</v>
      </c>
      <c r="C845" s="52"/>
      <c r="D845" s="242"/>
      <c r="E845" s="28">
        <v>0</v>
      </c>
      <c r="F845" s="57">
        <v>7</v>
      </c>
      <c r="G845" s="429">
        <v>105</v>
      </c>
      <c r="H845" s="15" t="s">
        <v>66</v>
      </c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40">
        <f>SUMIFS($V$2:$V$840,$AE$2:$AE$840,AE845)</f>
        <v>0</v>
      </c>
      <c r="T845" s="7" t="s">
        <v>492</v>
      </c>
      <c r="U845" s="66"/>
      <c r="W845" s="35">
        <f>E845*F845*G845/S$830</f>
        <v>0</v>
      </c>
      <c r="X845" s="110">
        <f>IF(H845="L",S845*W845,0)</f>
        <v>0</v>
      </c>
      <c r="Y845" s="110">
        <f>IF(H845="M",#REF!*W845,0)</f>
        <v>0</v>
      </c>
      <c r="Z845" s="110">
        <f>IF(H845="S",#REF!*W845,0)</f>
        <v>0</v>
      </c>
      <c r="AA845" s="110">
        <f>IF(H845="E",G845*#REF!*W845,0)</f>
        <v>0</v>
      </c>
      <c r="AB845" s="110">
        <f>SUM(X845:AA845)</f>
        <v>0</v>
      </c>
      <c r="AC845" s="371" t="s">
        <v>163</v>
      </c>
      <c r="AD845" s="371"/>
      <c r="AE845" s="371" t="s">
        <v>181</v>
      </c>
      <c r="AF845" s="371"/>
    </row>
    <row r="846" spans="1:32" x14ac:dyDescent="0.2">
      <c r="A846" s="14" t="s">
        <v>5</v>
      </c>
      <c r="B846" s="20" t="s">
        <v>404</v>
      </c>
      <c r="C846" s="7" t="s">
        <v>13</v>
      </c>
      <c r="D846" s="246"/>
      <c r="E846" s="20"/>
      <c r="F846" s="20"/>
      <c r="G846" s="85"/>
      <c r="H846" s="85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139">
        <v>0.08</v>
      </c>
      <c r="Y846" s="139">
        <v>0.05</v>
      </c>
      <c r="Z846" s="139">
        <v>0.05</v>
      </c>
      <c r="AA846" s="139">
        <v>0.05</v>
      </c>
      <c r="AB846" s="110"/>
      <c r="AC846" s="21"/>
      <c r="AD846" s="21"/>
      <c r="AE846" s="21"/>
      <c r="AF846" s="21"/>
    </row>
    <row r="847" spans="1:32" ht="13.5" thickBot="1" x14ac:dyDescent="0.25">
      <c r="A847" s="14" t="s">
        <v>5</v>
      </c>
      <c r="B847" s="20" t="s">
        <v>405</v>
      </c>
      <c r="C847" s="15" t="s">
        <v>745</v>
      </c>
      <c r="D847" s="246"/>
      <c r="E847" s="20"/>
      <c r="F847" s="20"/>
      <c r="G847" s="85"/>
      <c r="H847" s="85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110">
        <f>X846*SUM(X2:X845)</f>
        <v>14013.256186275908</v>
      </c>
      <c r="Y847" s="110">
        <f>Y846*SUM(Y2:Y845)</f>
        <v>232.32</v>
      </c>
      <c r="Z847" s="110">
        <f>Z846*SUM(Z2:Z845)</f>
        <v>0</v>
      </c>
      <c r="AA847" s="110">
        <f>AA846*SUM(AA2:AA845)</f>
        <v>1415.0125500000001</v>
      </c>
      <c r="AB847" s="110">
        <f>SUM(X847:AA847)</f>
        <v>15660.588736275908</v>
      </c>
      <c r="AC847" s="21"/>
      <c r="AD847" s="21"/>
      <c r="AE847" s="21"/>
      <c r="AF847" s="21"/>
    </row>
    <row r="848" spans="1:32" ht="13.5" thickBot="1" x14ac:dyDescent="0.25">
      <c r="A848" s="14" t="s">
        <v>5</v>
      </c>
      <c r="B848" s="198" t="s">
        <v>617</v>
      </c>
      <c r="C848" s="200" t="s">
        <v>13</v>
      </c>
      <c r="D848" s="251">
        <f>SUM(D3:D840)</f>
        <v>0</v>
      </c>
      <c r="E848" s="199"/>
      <c r="F848" s="199"/>
      <c r="G848" s="199"/>
      <c r="H848" s="199"/>
      <c r="I848" s="199"/>
      <c r="J848" s="199"/>
      <c r="K848" s="199"/>
      <c r="L848" s="199"/>
      <c r="M848" s="199"/>
      <c r="N848" s="199"/>
      <c r="O848" s="199"/>
      <c r="P848" s="199"/>
      <c r="Q848" s="199"/>
      <c r="R848" s="199"/>
      <c r="S848" s="199"/>
      <c r="T848" s="199"/>
      <c r="U848" s="218"/>
      <c r="V848" s="219">
        <f>SUM(V3:V840)</f>
        <v>3966.9749999999999</v>
      </c>
      <c r="W848" s="220"/>
      <c r="X848" s="221">
        <f>SUM(X2:X845,X847)</f>
        <v>189178.95851472477</v>
      </c>
      <c r="Y848" s="221">
        <f>SUM(Y2:Y845,Y847)</f>
        <v>4878.7199999999993</v>
      </c>
      <c r="Z848" s="221">
        <f>SUM(Z2:Z845,Z847)</f>
        <v>0</v>
      </c>
      <c r="AA848" s="221">
        <f>SUM(AA2:AA845,AA847)</f>
        <v>29715.26355</v>
      </c>
      <c r="AB848" s="222">
        <f>SUM(AB2:AB845,AB847)</f>
        <v>223772.94206472478</v>
      </c>
      <c r="AC848" s="369"/>
      <c r="AD848" s="369"/>
      <c r="AE848" s="369" t="s">
        <v>13</v>
      </c>
      <c r="AF848" s="369"/>
    </row>
    <row r="849" spans="1:32" x14ac:dyDescent="0.2">
      <c r="A849" s="14" t="s">
        <v>5</v>
      </c>
      <c r="B849" s="20" t="s">
        <v>406</v>
      </c>
      <c r="C849" s="7" t="s">
        <v>13</v>
      </c>
      <c r="D849" s="246"/>
      <c r="E849" s="20"/>
      <c r="F849" s="20"/>
      <c r="G849" s="85"/>
      <c r="H849" s="85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141"/>
      <c r="T849" s="141"/>
      <c r="U849" s="141"/>
      <c r="V849" s="141"/>
      <c r="W849" s="141"/>
      <c r="X849" s="139">
        <v>0.05</v>
      </c>
      <c r="Y849" s="139">
        <v>0.05</v>
      </c>
      <c r="Z849" s="139">
        <v>0.05</v>
      </c>
      <c r="AA849" s="139">
        <v>0.05</v>
      </c>
      <c r="AB849" s="110"/>
      <c r="AC849" s="406"/>
      <c r="AD849" s="406"/>
      <c r="AE849" s="406"/>
      <c r="AF849" s="406"/>
    </row>
    <row r="850" spans="1:32" x14ac:dyDescent="0.2">
      <c r="A850" s="14" t="s">
        <v>5</v>
      </c>
      <c r="B850" s="20" t="s">
        <v>407</v>
      </c>
      <c r="C850" s="15" t="s">
        <v>745</v>
      </c>
      <c r="D850" s="246"/>
      <c r="E850" s="20"/>
      <c r="F850" s="20"/>
      <c r="G850" s="85"/>
      <c r="H850" s="85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5"/>
      <c r="T850" s="25"/>
      <c r="U850" s="25"/>
      <c r="V850" s="25"/>
      <c r="W850" s="25"/>
      <c r="X850" s="110">
        <f>X$848*X849</f>
        <v>9458.9479257362382</v>
      </c>
      <c r="Y850" s="110">
        <f>Y$848*Y849</f>
        <v>243.93599999999998</v>
      </c>
      <c r="Z850" s="110">
        <f>Z$848*Z849</f>
        <v>0</v>
      </c>
      <c r="AA850" s="110">
        <f>AA$848*AA849</f>
        <v>1485.7631775</v>
      </c>
      <c r="AB850" s="110">
        <f>SUM(X850:AA850)</f>
        <v>11188.647103236239</v>
      </c>
      <c r="AC850" s="26"/>
      <c r="AD850" s="26"/>
      <c r="AE850" s="26"/>
      <c r="AF850" s="26"/>
    </row>
    <row r="851" spans="1:32" x14ac:dyDescent="0.2">
      <c r="A851" s="14" t="s">
        <v>5</v>
      </c>
      <c r="B851" s="20" t="s">
        <v>408</v>
      </c>
      <c r="C851" s="7" t="s">
        <v>13</v>
      </c>
      <c r="D851" s="246"/>
      <c r="E851" s="20"/>
      <c r="F851" s="20"/>
      <c r="G851" s="85"/>
      <c r="H851" s="85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41"/>
      <c r="T851" s="41"/>
      <c r="U851" s="41"/>
      <c r="V851" s="41"/>
      <c r="W851" s="41"/>
      <c r="X851" s="139">
        <v>7.0000000000000007E-2</v>
      </c>
      <c r="Y851" s="139">
        <v>0.05</v>
      </c>
      <c r="Z851" s="139">
        <v>0.05</v>
      </c>
      <c r="AA851" s="139">
        <v>0.05</v>
      </c>
      <c r="AB851" s="110"/>
      <c r="AC851" s="237"/>
      <c r="AD851" s="237"/>
      <c r="AE851" s="237"/>
      <c r="AF851" s="237"/>
    </row>
    <row r="852" spans="1:32" ht="13.5" thickBot="1" x14ac:dyDescent="0.25">
      <c r="A852" s="14" t="s">
        <v>5</v>
      </c>
      <c r="B852" s="20" t="s">
        <v>409</v>
      </c>
      <c r="C852" s="15" t="s">
        <v>745</v>
      </c>
      <c r="D852" s="246"/>
      <c r="E852" s="20"/>
      <c r="F852" s="20"/>
      <c r="G852" s="85"/>
      <c r="H852" s="85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142"/>
      <c r="T852" s="142"/>
      <c r="U852" s="142"/>
      <c r="V852" s="142"/>
      <c r="W852" s="142"/>
      <c r="X852" s="110">
        <f>SUM(X848,X850)*X851</f>
        <v>13904.653450832271</v>
      </c>
      <c r="Y852" s="110">
        <f>SUM(Y848,Y850)*Y851</f>
        <v>256.13279999999997</v>
      </c>
      <c r="Z852" s="110">
        <f>SUM(Z848,Z850)*Z851</f>
        <v>0</v>
      </c>
      <c r="AA852" s="110">
        <f>SUM(AA848,AA850)*AA851</f>
        <v>1560.0513363750001</v>
      </c>
      <c r="AB852" s="110">
        <f>SUM(X852:AA852)</f>
        <v>15720.83758720727</v>
      </c>
      <c r="AC852" s="169"/>
      <c r="AD852" s="169"/>
      <c r="AE852" s="169"/>
      <c r="AF852" s="169"/>
    </row>
    <row r="853" spans="1:32" ht="13.5" thickBot="1" x14ac:dyDescent="0.25">
      <c r="A853" s="14" t="s">
        <v>5</v>
      </c>
      <c r="B853" s="198" t="s">
        <v>618</v>
      </c>
      <c r="C853" s="200" t="s">
        <v>13</v>
      </c>
      <c r="D853" s="251">
        <f>D848</f>
        <v>0</v>
      </c>
      <c r="E853" s="199"/>
      <c r="F853" s="199"/>
      <c r="G853" s="199"/>
      <c r="H853" s="199"/>
      <c r="I853" s="199"/>
      <c r="J853" s="199"/>
      <c r="K853" s="199"/>
      <c r="L853" s="199"/>
      <c r="M853" s="199"/>
      <c r="N853" s="199"/>
      <c r="O853" s="199"/>
      <c r="P853" s="199"/>
      <c r="Q853" s="199"/>
      <c r="R853" s="199"/>
      <c r="S853" s="199"/>
      <c r="T853" s="199"/>
      <c r="U853" s="218"/>
      <c r="V853" s="219">
        <f>V848</f>
        <v>3966.9749999999999</v>
      </c>
      <c r="W853" s="220"/>
      <c r="X853" s="220">
        <f>SUM(X848,X850,X852)</f>
        <v>212542.55989129326</v>
      </c>
      <c r="Y853" s="220">
        <f>SUM(Y848,Y850,Y852)</f>
        <v>5378.7887999999994</v>
      </c>
      <c r="Z853" s="220">
        <f>SUM(Z848,Z850,Z852)</f>
        <v>0</v>
      </c>
      <c r="AA853" s="220">
        <f>SUM(AA848,AA850,AA852)</f>
        <v>32761.078063875</v>
      </c>
      <c r="AB853" s="220">
        <f>SUM(AB848,AB850,AB852)</f>
        <v>250682.42675516827</v>
      </c>
      <c r="AC853" s="369"/>
      <c r="AD853" s="369"/>
      <c r="AE853" s="369" t="s">
        <v>13</v>
      </c>
      <c r="AF853" s="369"/>
    </row>
    <row r="854" spans="1:32" x14ac:dyDescent="0.2">
      <c r="A854" s="14" t="s">
        <v>5</v>
      </c>
      <c r="B854" s="2" t="s">
        <v>410</v>
      </c>
      <c r="C854" s="423" t="s">
        <v>13</v>
      </c>
      <c r="D854" s="243"/>
      <c r="E854" s="2"/>
      <c r="H854" s="9"/>
      <c r="S854" s="58"/>
      <c r="T854" s="2"/>
      <c r="W854" s="61"/>
      <c r="X854" s="119">
        <f>IFERROR(X853/SUM(X3:X845),0)</f>
        <v>1.2133799999999999</v>
      </c>
      <c r="Y854" s="119">
        <f>IFERROR(Y853/SUM(Y3:Y845),0)</f>
        <v>1.1576249999999999</v>
      </c>
      <c r="Z854" s="119">
        <f>IFERROR(Z853/SUM(Z3:Z845),0)</f>
        <v>0</v>
      </c>
      <c r="AA854" s="119">
        <f>IFERROR(AA853/SUM(AA3:AA845),0)</f>
        <v>1.1576249999999999</v>
      </c>
      <c r="AB854" s="119">
        <f>IFERROR(AB853/SUM(AB3:AB845),0)</f>
        <v>1.2045533229809482</v>
      </c>
    </row>
    <row r="855" spans="1:32" ht="13.5" hidden="1" thickBot="1" x14ac:dyDescent="0.25">
      <c r="A855" s="14" t="str">
        <f>IF(SUM(AB856:AB903)&lt;&gt;0,"X","")</f>
        <v/>
      </c>
      <c r="B855" s="198" t="s">
        <v>411</v>
      </c>
      <c r="C855" s="200" t="s">
        <v>13</v>
      </c>
      <c r="D855" s="239"/>
      <c r="E855" s="217" t="s">
        <v>78</v>
      </c>
      <c r="F855" s="217" t="s">
        <v>80</v>
      </c>
      <c r="G855" s="199"/>
      <c r="H855" s="199"/>
      <c r="I855" s="199"/>
      <c r="J855" s="199"/>
      <c r="K855" s="199"/>
      <c r="L855" s="199"/>
      <c r="M855" s="199"/>
      <c r="N855" s="199"/>
      <c r="O855" s="199"/>
      <c r="P855" s="199"/>
      <c r="Q855" s="199"/>
      <c r="R855" s="199"/>
      <c r="S855" s="200"/>
      <c r="T855" s="200"/>
      <c r="U855" s="201"/>
      <c r="V855" s="202"/>
      <c r="W855" s="203"/>
      <c r="X855" s="204"/>
      <c r="Y855" s="204"/>
      <c r="Z855" s="204"/>
      <c r="AA855" s="204"/>
      <c r="AB855" s="205"/>
      <c r="AC855" s="369"/>
      <c r="AD855" s="369"/>
      <c r="AE855" s="369" t="s">
        <v>13</v>
      </c>
      <c r="AF855" s="369"/>
    </row>
    <row r="856" spans="1:32" hidden="1" x14ac:dyDescent="0.2">
      <c r="A856" s="14" t="str">
        <f>+IF(AB856&lt;&gt;0,"X","")</f>
        <v/>
      </c>
      <c r="B856" s="126" t="s">
        <v>412</v>
      </c>
      <c r="C856" s="15"/>
      <c r="D856" s="349" t="s">
        <v>120</v>
      </c>
      <c r="E856" s="53"/>
      <c r="F856" s="98">
        <v>1</v>
      </c>
      <c r="G856" s="85" t="s">
        <v>594</v>
      </c>
      <c r="H856" s="15" t="s">
        <v>67</v>
      </c>
      <c r="I856" s="379"/>
      <c r="J856" s="379"/>
      <c r="K856" s="379"/>
      <c r="L856" s="379"/>
      <c r="M856" s="379"/>
      <c r="N856" s="379"/>
      <c r="O856" s="379"/>
      <c r="P856" s="379"/>
      <c r="Q856" s="379"/>
      <c r="R856" s="379"/>
      <c r="S856" s="19">
        <v>1</v>
      </c>
      <c r="T856" s="19" t="s">
        <v>491</v>
      </c>
      <c r="U856" s="11"/>
      <c r="V856" s="46"/>
      <c r="W856" s="120">
        <f>SUM(I856:R856)</f>
        <v>0</v>
      </c>
      <c r="X856" s="109">
        <f t="shared" ref="X856:X900" si="352">IF(H856="L",1*W856,0)</f>
        <v>0</v>
      </c>
      <c r="Y856" s="109">
        <f t="shared" ref="Y856:Y900" si="353">IF(H856="M",S856*W856,0)</f>
        <v>0</v>
      </c>
      <c r="Z856" s="109">
        <f t="shared" ref="Z856:Z900" si="354">IF(H856="S",S856*W856,0)</f>
        <v>0</v>
      </c>
      <c r="AA856" s="109">
        <f>IF(H856="E",S856*W856,0)</f>
        <v>0</v>
      </c>
      <c r="AB856" s="109">
        <f t="shared" ref="AB856:AB894" si="355">SUM(X856:AA856)</f>
        <v>0</v>
      </c>
      <c r="AC856" s="371" t="s">
        <v>178</v>
      </c>
      <c r="AD856" s="371"/>
      <c r="AE856" s="371"/>
      <c r="AF856" s="371"/>
    </row>
    <row r="857" spans="1:32" hidden="1" x14ac:dyDescent="0.2">
      <c r="A857" s="14" t="str">
        <f>+IF(AB857&lt;&gt;0,"X","")</f>
        <v/>
      </c>
      <c r="B857" s="126" t="s">
        <v>413</v>
      </c>
      <c r="C857" s="15"/>
      <c r="D857" s="349" t="s">
        <v>120</v>
      </c>
      <c r="E857" s="407"/>
      <c r="F857" s="98">
        <v>1.1499999999999999</v>
      </c>
      <c r="G857" s="85" t="s">
        <v>594</v>
      </c>
      <c r="H857" s="15" t="s">
        <v>67</v>
      </c>
      <c r="I857" s="379"/>
      <c r="J857" s="379"/>
      <c r="K857" s="379"/>
      <c r="L857" s="379"/>
      <c r="M857" s="379"/>
      <c r="N857" s="379"/>
      <c r="O857" s="379"/>
      <c r="P857" s="379"/>
      <c r="Q857" s="379"/>
      <c r="R857" s="379"/>
      <c r="S857" s="19">
        <v>1</v>
      </c>
      <c r="T857" s="19" t="s">
        <v>491</v>
      </c>
      <c r="U857" s="11"/>
      <c r="V857" s="11"/>
      <c r="W857" s="120">
        <f>SUM(I857:R857)</f>
        <v>0</v>
      </c>
      <c r="X857" s="109">
        <f t="shared" si="352"/>
        <v>0</v>
      </c>
      <c r="Y857" s="109">
        <f t="shared" si="353"/>
        <v>0</v>
      </c>
      <c r="Z857" s="109">
        <f t="shared" si="354"/>
        <v>0</v>
      </c>
      <c r="AA857" s="109">
        <f>IF(H857="E",S857*W857,0)</f>
        <v>0</v>
      </c>
      <c r="AB857" s="109">
        <f t="shared" si="355"/>
        <v>0</v>
      </c>
      <c r="AC857" s="371" t="s">
        <v>178</v>
      </c>
      <c r="AD857" s="371"/>
      <c r="AE857" s="371"/>
      <c r="AF857" s="371"/>
    </row>
    <row r="858" spans="1:32" hidden="1" x14ac:dyDescent="0.2">
      <c r="A858" s="14" t="str">
        <f>+IF(AB858&lt;&gt;0,"X","")</f>
        <v/>
      </c>
      <c r="B858" s="126" t="s">
        <v>414</v>
      </c>
      <c r="C858" s="15"/>
      <c r="D858" s="349" t="s">
        <v>120</v>
      </c>
      <c r="E858" s="407"/>
      <c r="F858" s="98">
        <v>1.1499999999999999</v>
      </c>
      <c r="G858" s="85" t="s">
        <v>594</v>
      </c>
      <c r="H858" s="15" t="s">
        <v>67</v>
      </c>
      <c r="I858" s="379"/>
      <c r="J858" s="379"/>
      <c r="K858" s="379"/>
      <c r="L858" s="379"/>
      <c r="M858" s="379"/>
      <c r="N858" s="379"/>
      <c r="O858" s="379"/>
      <c r="P858" s="379"/>
      <c r="Q858" s="379"/>
      <c r="R858" s="379"/>
      <c r="S858" s="19">
        <v>1</v>
      </c>
      <c r="T858" s="19" t="s">
        <v>491</v>
      </c>
      <c r="U858" s="11"/>
      <c r="V858" s="11"/>
      <c r="W858" s="120">
        <f>SUM(I858:R858)</f>
        <v>0</v>
      </c>
      <c r="X858" s="109">
        <f t="shared" si="352"/>
        <v>0</v>
      </c>
      <c r="Y858" s="109">
        <f t="shared" si="353"/>
        <v>0</v>
      </c>
      <c r="Z858" s="109">
        <f t="shared" si="354"/>
        <v>0</v>
      </c>
      <c r="AA858" s="109">
        <f>IF(H858="E",S858*W858,0)</f>
        <v>0</v>
      </c>
      <c r="AB858" s="109">
        <f t="shared" ref="AB858" si="356">SUM(X858:AA858)</f>
        <v>0</v>
      </c>
      <c r="AC858" s="371" t="s">
        <v>178</v>
      </c>
      <c r="AD858" s="371"/>
      <c r="AE858" s="371"/>
      <c r="AF858" s="371"/>
    </row>
    <row r="859" spans="1:32" ht="13.5" hidden="1" thickBot="1" x14ac:dyDescent="0.25">
      <c r="A859" s="14" t="str">
        <f>IF(SUM(AB860:AB870)&lt;&gt;0,"X","")</f>
        <v/>
      </c>
      <c r="B859" s="198" t="s">
        <v>415</v>
      </c>
      <c r="C859" s="200" t="s">
        <v>13</v>
      </c>
      <c r="D859" s="239"/>
      <c r="E859" s="199"/>
      <c r="F859" s="199"/>
      <c r="G859" s="199"/>
      <c r="H859" s="199"/>
      <c r="I859" s="199"/>
      <c r="J859" s="199"/>
      <c r="K859" s="199"/>
      <c r="L859" s="199"/>
      <c r="M859" s="199"/>
      <c r="N859" s="199"/>
      <c r="O859" s="199"/>
      <c r="P859" s="199"/>
      <c r="Q859" s="199"/>
      <c r="R859" s="199"/>
      <c r="S859" s="199"/>
      <c r="T859" s="200"/>
      <c r="U859" s="201"/>
      <c r="V859" s="202"/>
      <c r="W859" s="203"/>
      <c r="X859" s="204">
        <f t="shared" si="352"/>
        <v>0</v>
      </c>
      <c r="Y859" s="204">
        <f t="shared" si="353"/>
        <v>0</v>
      </c>
      <c r="Z859" s="204">
        <f t="shared" si="354"/>
        <v>0</v>
      </c>
      <c r="AA859" s="204">
        <f>IF(H859="E",G859*S859*W859,0)</f>
        <v>0</v>
      </c>
      <c r="AB859" s="205">
        <f>SUM(X859:AA859)</f>
        <v>0</v>
      </c>
      <c r="AC859" s="369"/>
      <c r="AD859" s="369"/>
      <c r="AE859" s="369" t="s">
        <v>13</v>
      </c>
      <c r="AF859" s="369"/>
    </row>
    <row r="860" spans="1:32" hidden="1" x14ac:dyDescent="0.2">
      <c r="A860" s="14" t="str">
        <f t="shared" ref="A860:A870" si="357">+IF(AB860&lt;&gt;0,"X","")</f>
        <v/>
      </c>
      <c r="B860" s="126" t="s">
        <v>416</v>
      </c>
      <c r="C860" s="15"/>
      <c r="D860" s="242"/>
      <c r="E860" s="379"/>
      <c r="F860" s="98">
        <v>1.1499999999999999</v>
      </c>
      <c r="G860" s="85" t="s">
        <v>594</v>
      </c>
      <c r="H860" s="28" t="s">
        <v>65</v>
      </c>
      <c r="I860" s="379">
        <f>E860*F860</f>
        <v>0</v>
      </c>
      <c r="J860" s="379"/>
      <c r="K860" s="379"/>
      <c r="L860" s="379"/>
      <c r="M860" s="379"/>
      <c r="N860" s="379"/>
      <c r="O860" s="379"/>
      <c r="P860" s="379"/>
      <c r="Q860" s="379"/>
      <c r="R860" s="379"/>
      <c r="S860" s="19">
        <v>1</v>
      </c>
      <c r="T860" s="19" t="s">
        <v>491</v>
      </c>
      <c r="U860" s="11"/>
      <c r="V860" s="11"/>
      <c r="W860" s="120">
        <f t="shared" ref="W860:W870" si="358">SUM(I860:R860)</f>
        <v>0</v>
      </c>
      <c r="X860" s="109">
        <f t="shared" si="352"/>
        <v>0</v>
      </c>
      <c r="Y860" s="109">
        <f t="shared" si="353"/>
        <v>0</v>
      </c>
      <c r="Z860" s="109">
        <f t="shared" si="354"/>
        <v>0</v>
      </c>
      <c r="AA860" s="109">
        <f t="shared" ref="AA860:AA870" si="359">IF(H860="E",S860*W860,0)</f>
        <v>0</v>
      </c>
      <c r="AB860" s="109">
        <f t="shared" si="355"/>
        <v>0</v>
      </c>
      <c r="AC860" s="386" t="s">
        <v>178</v>
      </c>
      <c r="AD860" s="386" t="s">
        <v>152</v>
      </c>
      <c r="AE860" s="383" t="s">
        <v>13</v>
      </c>
      <c r="AF860" s="386"/>
    </row>
    <row r="861" spans="1:32" hidden="1" x14ac:dyDescent="0.2">
      <c r="A861" s="14" t="str">
        <f t="shared" si="357"/>
        <v/>
      </c>
      <c r="B861" s="126" t="s">
        <v>417</v>
      </c>
      <c r="C861" s="15"/>
      <c r="D861" s="242"/>
      <c r="E861" s="379"/>
      <c r="F861" s="98">
        <v>1.1499999999999999</v>
      </c>
      <c r="G861" s="85" t="s">
        <v>594</v>
      </c>
      <c r="H861" s="28" t="s">
        <v>65</v>
      </c>
      <c r="I861" s="379">
        <f>E861*F861</f>
        <v>0</v>
      </c>
      <c r="J861" s="379"/>
      <c r="K861" s="379"/>
      <c r="L861" s="379"/>
      <c r="M861" s="379"/>
      <c r="N861" s="379"/>
      <c r="O861" s="379"/>
      <c r="P861" s="379"/>
      <c r="Q861" s="379"/>
      <c r="R861" s="379"/>
      <c r="S861" s="19">
        <v>1</v>
      </c>
      <c r="T861" s="19" t="s">
        <v>491</v>
      </c>
      <c r="U861" s="11"/>
      <c r="V861" s="11"/>
      <c r="W861" s="120">
        <f t="shared" si="358"/>
        <v>0</v>
      </c>
      <c r="X861" s="109">
        <f t="shared" si="352"/>
        <v>0</v>
      </c>
      <c r="Y861" s="109">
        <f t="shared" si="353"/>
        <v>0</v>
      </c>
      <c r="Z861" s="109">
        <f t="shared" si="354"/>
        <v>0</v>
      </c>
      <c r="AA861" s="109">
        <f t="shared" si="359"/>
        <v>0</v>
      </c>
      <c r="AB861" s="109">
        <f t="shared" ref="AB861" si="360">SUM(X861:AA861)</f>
        <v>0</v>
      </c>
      <c r="AC861" s="386" t="s">
        <v>178</v>
      </c>
      <c r="AD861" s="386" t="s">
        <v>152</v>
      </c>
      <c r="AE861" s="383" t="s">
        <v>13</v>
      </c>
      <c r="AF861" s="386"/>
    </row>
    <row r="862" spans="1:32" ht="25.5" hidden="1" x14ac:dyDescent="0.2">
      <c r="A862" s="14" t="str">
        <f t="shared" si="357"/>
        <v/>
      </c>
      <c r="B862" s="126" t="s">
        <v>418</v>
      </c>
      <c r="C862" s="15"/>
      <c r="D862" s="242"/>
      <c r="E862" s="379"/>
      <c r="F862" s="98">
        <v>1.1499999999999999</v>
      </c>
      <c r="G862" s="85" t="s">
        <v>594</v>
      </c>
      <c r="H862" s="28" t="s">
        <v>65</v>
      </c>
      <c r="I862" s="379">
        <f>E862*F862</f>
        <v>0</v>
      </c>
      <c r="J862" s="379"/>
      <c r="K862" s="379"/>
      <c r="L862" s="379"/>
      <c r="M862" s="379"/>
      <c r="N862" s="379"/>
      <c r="O862" s="379"/>
      <c r="P862" s="379"/>
      <c r="Q862" s="379"/>
      <c r="R862" s="379"/>
      <c r="S862" s="19">
        <v>1</v>
      </c>
      <c r="T862" s="19" t="s">
        <v>491</v>
      </c>
      <c r="U862" s="11"/>
      <c r="V862" s="11"/>
      <c r="W862" s="120">
        <f t="shared" si="358"/>
        <v>0</v>
      </c>
      <c r="X862" s="109">
        <f t="shared" si="352"/>
        <v>0</v>
      </c>
      <c r="Y862" s="109">
        <f t="shared" si="353"/>
        <v>0</v>
      </c>
      <c r="Z862" s="109">
        <f t="shared" si="354"/>
        <v>0</v>
      </c>
      <c r="AA862" s="109">
        <f t="shared" si="359"/>
        <v>0</v>
      </c>
      <c r="AB862" s="109">
        <f t="shared" ref="AB862:AB863" si="361">SUM(X862:AA862)</f>
        <v>0</v>
      </c>
      <c r="AC862" s="386" t="s">
        <v>178</v>
      </c>
      <c r="AD862" s="386" t="s">
        <v>152</v>
      </c>
      <c r="AE862" s="383" t="s">
        <v>13</v>
      </c>
      <c r="AF862" s="386"/>
    </row>
    <row r="863" spans="1:32" hidden="1" x14ac:dyDescent="0.2">
      <c r="A863" s="14" t="str">
        <f t="shared" si="357"/>
        <v/>
      </c>
      <c r="B863" s="126" t="s">
        <v>419</v>
      </c>
      <c r="C863" s="15"/>
      <c r="D863" s="242"/>
      <c r="E863" s="379"/>
      <c r="F863" s="98">
        <v>1.1499999999999999</v>
      </c>
      <c r="G863" s="85" t="s">
        <v>594</v>
      </c>
      <c r="H863" s="28" t="s">
        <v>65</v>
      </c>
      <c r="I863" s="379"/>
      <c r="J863" s="379"/>
      <c r="K863" s="379"/>
      <c r="L863" s="379"/>
      <c r="M863" s="379"/>
      <c r="N863" s="379"/>
      <c r="O863" s="379"/>
      <c r="P863" s="379"/>
      <c r="Q863" s="379"/>
      <c r="R863" s="379"/>
      <c r="S863" s="19">
        <v>1</v>
      </c>
      <c r="T863" s="19" t="s">
        <v>491</v>
      </c>
      <c r="U863" s="11"/>
      <c r="V863" s="11"/>
      <c r="W863" s="120">
        <f t="shared" si="358"/>
        <v>0</v>
      </c>
      <c r="X863" s="109">
        <f t="shared" si="352"/>
        <v>0</v>
      </c>
      <c r="Y863" s="109">
        <f t="shared" si="353"/>
        <v>0</v>
      </c>
      <c r="Z863" s="109">
        <f t="shared" si="354"/>
        <v>0</v>
      </c>
      <c r="AA863" s="109">
        <f t="shared" si="359"/>
        <v>0</v>
      </c>
      <c r="AB863" s="109">
        <f t="shared" si="361"/>
        <v>0</v>
      </c>
      <c r="AC863" s="386" t="s">
        <v>178</v>
      </c>
      <c r="AD863" s="386" t="s">
        <v>185</v>
      </c>
      <c r="AE863" s="383" t="s">
        <v>13</v>
      </c>
      <c r="AF863" s="386"/>
    </row>
    <row r="864" spans="1:32" hidden="1" x14ac:dyDescent="0.2">
      <c r="A864" s="14" t="str">
        <f t="shared" si="357"/>
        <v/>
      </c>
      <c r="B864" s="126" t="s">
        <v>648</v>
      </c>
      <c r="C864" s="15"/>
      <c r="D864" s="242"/>
      <c r="E864" s="379"/>
      <c r="F864" s="98">
        <v>1.1499999999999999</v>
      </c>
      <c r="G864" s="85" t="s">
        <v>594</v>
      </c>
      <c r="H864" s="28" t="s">
        <v>65</v>
      </c>
      <c r="I864" s="379">
        <f t="shared" ref="I864:I870" si="362">E864*F864</f>
        <v>0</v>
      </c>
      <c r="J864" s="379"/>
      <c r="K864" s="379"/>
      <c r="L864" s="379"/>
      <c r="M864" s="379"/>
      <c r="N864" s="379"/>
      <c r="O864" s="379"/>
      <c r="P864" s="379"/>
      <c r="Q864" s="379"/>
      <c r="R864" s="379"/>
      <c r="S864" s="19">
        <v>1</v>
      </c>
      <c r="T864" s="19" t="s">
        <v>491</v>
      </c>
      <c r="U864" s="11"/>
      <c r="V864" s="11"/>
      <c r="W864" s="120">
        <f t="shared" si="358"/>
        <v>0</v>
      </c>
      <c r="X864" s="109">
        <f t="shared" si="352"/>
        <v>0</v>
      </c>
      <c r="Y864" s="109">
        <f t="shared" si="353"/>
        <v>0</v>
      </c>
      <c r="Z864" s="109">
        <f t="shared" si="354"/>
        <v>0</v>
      </c>
      <c r="AA864" s="109">
        <f t="shared" si="359"/>
        <v>0</v>
      </c>
      <c r="AB864" s="109">
        <f t="shared" ref="AB864" si="363">SUM(X864:AA864)</f>
        <v>0</v>
      </c>
      <c r="AC864" s="386" t="s">
        <v>178</v>
      </c>
      <c r="AD864" s="386" t="s">
        <v>186</v>
      </c>
      <c r="AE864" s="383" t="s">
        <v>13</v>
      </c>
      <c r="AF864" s="386"/>
    </row>
    <row r="865" spans="1:32" hidden="1" x14ac:dyDescent="0.2">
      <c r="A865" s="14" t="str">
        <f t="shared" si="357"/>
        <v/>
      </c>
      <c r="B865" s="126" t="s">
        <v>420</v>
      </c>
      <c r="C865" s="15"/>
      <c r="D865" s="242"/>
      <c r="E865" s="379"/>
      <c r="F865" s="98">
        <v>1.1499999999999999</v>
      </c>
      <c r="G865" s="85" t="s">
        <v>594</v>
      </c>
      <c r="H865" s="28" t="s">
        <v>65</v>
      </c>
      <c r="I865" s="379">
        <f t="shared" si="362"/>
        <v>0</v>
      </c>
      <c r="J865" s="379"/>
      <c r="K865" s="379"/>
      <c r="L865" s="379"/>
      <c r="M865" s="379"/>
      <c r="N865" s="379"/>
      <c r="O865" s="379"/>
      <c r="P865" s="379"/>
      <c r="Q865" s="379"/>
      <c r="R865" s="379"/>
      <c r="S865" s="19">
        <v>1</v>
      </c>
      <c r="T865" s="19" t="s">
        <v>491</v>
      </c>
      <c r="U865" s="11"/>
      <c r="V865" s="11"/>
      <c r="W865" s="120">
        <f t="shared" si="358"/>
        <v>0</v>
      </c>
      <c r="X865" s="109">
        <f t="shared" si="352"/>
        <v>0</v>
      </c>
      <c r="Y865" s="109">
        <f t="shared" si="353"/>
        <v>0</v>
      </c>
      <c r="Z865" s="109">
        <f t="shared" si="354"/>
        <v>0</v>
      </c>
      <c r="AA865" s="109">
        <f t="shared" si="359"/>
        <v>0</v>
      </c>
      <c r="AB865" s="109">
        <f t="shared" si="355"/>
        <v>0</v>
      </c>
      <c r="AC865" s="386" t="s">
        <v>178</v>
      </c>
      <c r="AD865" s="386" t="s">
        <v>187</v>
      </c>
      <c r="AE865" s="383" t="s">
        <v>13</v>
      </c>
      <c r="AF865" s="386"/>
    </row>
    <row r="866" spans="1:32" hidden="1" x14ac:dyDescent="0.2">
      <c r="A866" s="14" t="str">
        <f t="shared" si="357"/>
        <v/>
      </c>
      <c r="B866" s="126" t="s">
        <v>421</v>
      </c>
      <c r="C866" s="15"/>
      <c r="D866" s="242"/>
      <c r="E866" s="379"/>
      <c r="F866" s="98">
        <v>1.1499999999999999</v>
      </c>
      <c r="G866" s="85" t="s">
        <v>594</v>
      </c>
      <c r="H866" s="28" t="s">
        <v>65</v>
      </c>
      <c r="I866" s="379">
        <f t="shared" si="362"/>
        <v>0</v>
      </c>
      <c r="J866" s="379"/>
      <c r="K866" s="379"/>
      <c r="L866" s="379"/>
      <c r="M866" s="379"/>
      <c r="N866" s="379"/>
      <c r="O866" s="379"/>
      <c r="P866" s="379"/>
      <c r="Q866" s="379"/>
      <c r="R866" s="379"/>
      <c r="S866" s="19">
        <v>1</v>
      </c>
      <c r="T866" s="19" t="s">
        <v>491</v>
      </c>
      <c r="U866" s="11"/>
      <c r="V866" s="11"/>
      <c r="W866" s="120">
        <f t="shared" si="358"/>
        <v>0</v>
      </c>
      <c r="X866" s="109">
        <f t="shared" si="352"/>
        <v>0</v>
      </c>
      <c r="Y866" s="109">
        <f t="shared" si="353"/>
        <v>0</v>
      </c>
      <c r="Z866" s="109">
        <f t="shared" si="354"/>
        <v>0</v>
      </c>
      <c r="AA866" s="109">
        <f t="shared" si="359"/>
        <v>0</v>
      </c>
      <c r="AB866" s="109">
        <f t="shared" ref="AB866" si="364">SUM(X866:AA866)</f>
        <v>0</v>
      </c>
      <c r="AC866" s="386" t="s">
        <v>178</v>
      </c>
      <c r="AD866" s="386" t="s">
        <v>187</v>
      </c>
      <c r="AE866" s="383" t="s">
        <v>13</v>
      </c>
      <c r="AF866" s="386"/>
    </row>
    <row r="867" spans="1:32" hidden="1" x14ac:dyDescent="0.2">
      <c r="A867" s="14" t="str">
        <f t="shared" si="357"/>
        <v/>
      </c>
      <c r="B867" s="126" t="s">
        <v>422</v>
      </c>
      <c r="C867" s="15"/>
      <c r="D867" s="242"/>
      <c r="E867" s="379"/>
      <c r="F867" s="98">
        <v>1.1499999999999999</v>
      </c>
      <c r="G867" s="85" t="s">
        <v>594</v>
      </c>
      <c r="H867" s="28" t="s">
        <v>65</v>
      </c>
      <c r="I867" s="379">
        <f t="shared" si="362"/>
        <v>0</v>
      </c>
      <c r="J867" s="379"/>
      <c r="K867" s="379"/>
      <c r="L867" s="379"/>
      <c r="M867" s="379"/>
      <c r="N867" s="379"/>
      <c r="O867" s="379"/>
      <c r="P867" s="379"/>
      <c r="Q867" s="379"/>
      <c r="R867" s="379"/>
      <c r="S867" s="19">
        <v>1</v>
      </c>
      <c r="T867" s="19" t="s">
        <v>491</v>
      </c>
      <c r="U867" s="11"/>
      <c r="V867" s="11"/>
      <c r="W867" s="120">
        <f t="shared" si="358"/>
        <v>0</v>
      </c>
      <c r="X867" s="109">
        <f t="shared" si="352"/>
        <v>0</v>
      </c>
      <c r="Y867" s="109">
        <f t="shared" si="353"/>
        <v>0</v>
      </c>
      <c r="Z867" s="109">
        <f t="shared" si="354"/>
        <v>0</v>
      </c>
      <c r="AA867" s="109">
        <f t="shared" si="359"/>
        <v>0</v>
      </c>
      <c r="AB867" s="109">
        <f t="shared" si="355"/>
        <v>0</v>
      </c>
      <c r="AC867" s="386" t="s">
        <v>178</v>
      </c>
      <c r="AD867" s="386" t="s">
        <v>155</v>
      </c>
      <c r="AE867" s="383" t="s">
        <v>13</v>
      </c>
      <c r="AF867" s="386"/>
    </row>
    <row r="868" spans="1:32" hidden="1" x14ac:dyDescent="0.2">
      <c r="A868" s="14" t="str">
        <f t="shared" si="357"/>
        <v/>
      </c>
      <c r="B868" s="126" t="s">
        <v>423</v>
      </c>
      <c r="C868" s="15"/>
      <c r="D868" s="242"/>
      <c r="E868" s="379"/>
      <c r="F868" s="98">
        <v>1.1499999999999999</v>
      </c>
      <c r="G868" s="85" t="s">
        <v>594</v>
      </c>
      <c r="H868" s="28" t="s">
        <v>65</v>
      </c>
      <c r="I868" s="379">
        <f t="shared" si="362"/>
        <v>0</v>
      </c>
      <c r="J868" s="379"/>
      <c r="K868" s="379"/>
      <c r="L868" s="379"/>
      <c r="M868" s="379"/>
      <c r="N868" s="379"/>
      <c r="O868" s="379"/>
      <c r="P868" s="379"/>
      <c r="Q868" s="379"/>
      <c r="R868" s="379"/>
      <c r="S868" s="19">
        <v>1</v>
      </c>
      <c r="T868" s="19" t="s">
        <v>491</v>
      </c>
      <c r="U868" s="11"/>
      <c r="V868" s="11"/>
      <c r="W868" s="120">
        <f t="shared" si="358"/>
        <v>0</v>
      </c>
      <c r="X868" s="109">
        <f t="shared" si="352"/>
        <v>0</v>
      </c>
      <c r="Y868" s="109">
        <f t="shared" si="353"/>
        <v>0</v>
      </c>
      <c r="Z868" s="109">
        <f t="shared" si="354"/>
        <v>0</v>
      </c>
      <c r="AA868" s="109">
        <f t="shared" si="359"/>
        <v>0</v>
      </c>
      <c r="AB868" s="109">
        <f t="shared" ref="AB868:AB869" si="365">SUM(X868:AA868)</f>
        <v>0</v>
      </c>
      <c r="AC868" s="386" t="s">
        <v>178</v>
      </c>
      <c r="AD868" s="386" t="s">
        <v>155</v>
      </c>
      <c r="AE868" s="383" t="s">
        <v>13</v>
      </c>
      <c r="AF868" s="386"/>
    </row>
    <row r="869" spans="1:32" hidden="1" x14ac:dyDescent="0.2">
      <c r="A869" s="14" t="str">
        <f t="shared" si="357"/>
        <v/>
      </c>
      <c r="B869" s="126" t="s">
        <v>424</v>
      </c>
      <c r="C869" s="15"/>
      <c r="D869" s="242"/>
      <c r="E869" s="379"/>
      <c r="F869" s="98">
        <v>1.1499999999999999</v>
      </c>
      <c r="G869" s="85" t="s">
        <v>594</v>
      </c>
      <c r="H869" s="28" t="s">
        <v>65</v>
      </c>
      <c r="I869" s="379">
        <f t="shared" si="362"/>
        <v>0</v>
      </c>
      <c r="J869" s="379"/>
      <c r="K869" s="379"/>
      <c r="L869" s="379"/>
      <c r="M869" s="379"/>
      <c r="N869" s="379"/>
      <c r="O869" s="379"/>
      <c r="P869" s="379"/>
      <c r="Q869" s="379"/>
      <c r="R869" s="379"/>
      <c r="S869" s="19">
        <v>1</v>
      </c>
      <c r="T869" s="19" t="s">
        <v>491</v>
      </c>
      <c r="U869" s="11"/>
      <c r="V869" s="11"/>
      <c r="W869" s="120">
        <f t="shared" si="358"/>
        <v>0</v>
      </c>
      <c r="X869" s="109">
        <f t="shared" si="352"/>
        <v>0</v>
      </c>
      <c r="Y869" s="109">
        <f t="shared" si="353"/>
        <v>0</v>
      </c>
      <c r="Z869" s="109">
        <f t="shared" si="354"/>
        <v>0</v>
      </c>
      <c r="AA869" s="109">
        <f t="shared" si="359"/>
        <v>0</v>
      </c>
      <c r="AB869" s="109">
        <f t="shared" si="365"/>
        <v>0</v>
      </c>
      <c r="AC869" s="386" t="s">
        <v>178</v>
      </c>
      <c r="AD869" s="386" t="s">
        <v>188</v>
      </c>
      <c r="AE869" s="383" t="s">
        <v>13</v>
      </c>
      <c r="AF869" s="386"/>
    </row>
    <row r="870" spans="1:32" hidden="1" x14ac:dyDescent="0.2">
      <c r="A870" s="14" t="str">
        <f t="shared" si="357"/>
        <v/>
      </c>
      <c r="B870" s="126" t="s">
        <v>425</v>
      </c>
      <c r="C870" s="15"/>
      <c r="D870" s="242"/>
      <c r="E870" s="379"/>
      <c r="F870" s="98">
        <v>1.1499999999999999</v>
      </c>
      <c r="G870" s="85" t="s">
        <v>594</v>
      </c>
      <c r="H870" s="28" t="s">
        <v>65</v>
      </c>
      <c r="I870" s="379">
        <f t="shared" si="362"/>
        <v>0</v>
      </c>
      <c r="J870" s="379"/>
      <c r="K870" s="379"/>
      <c r="L870" s="379"/>
      <c r="M870" s="379"/>
      <c r="N870" s="379"/>
      <c r="O870" s="379"/>
      <c r="P870" s="379"/>
      <c r="Q870" s="379"/>
      <c r="R870" s="379"/>
      <c r="S870" s="19">
        <v>1</v>
      </c>
      <c r="T870" s="19" t="s">
        <v>491</v>
      </c>
      <c r="U870" s="11"/>
      <c r="V870" s="11"/>
      <c r="W870" s="120">
        <f t="shared" si="358"/>
        <v>0</v>
      </c>
      <c r="X870" s="109">
        <f t="shared" si="352"/>
        <v>0</v>
      </c>
      <c r="Y870" s="109">
        <f t="shared" si="353"/>
        <v>0</v>
      </c>
      <c r="Z870" s="109">
        <f t="shared" si="354"/>
        <v>0</v>
      </c>
      <c r="AA870" s="109">
        <f t="shared" si="359"/>
        <v>0</v>
      </c>
      <c r="AB870" s="109">
        <f t="shared" ref="AB870" si="366">SUM(X870:AA870)</f>
        <v>0</v>
      </c>
      <c r="AC870" s="386" t="s">
        <v>178</v>
      </c>
      <c r="AD870" s="386" t="s">
        <v>189</v>
      </c>
      <c r="AE870" s="383" t="s">
        <v>13</v>
      </c>
      <c r="AF870" s="386"/>
    </row>
    <row r="871" spans="1:32" ht="13.5" hidden="1" thickBot="1" x14ac:dyDescent="0.25">
      <c r="A871" s="14" t="str">
        <f>IF(SUM(AB872:AB873)&lt;&gt;0,"X","")</f>
        <v/>
      </c>
      <c r="B871" s="198" t="s">
        <v>426</v>
      </c>
      <c r="C871" s="200" t="s">
        <v>13</v>
      </c>
      <c r="D871" s="239"/>
      <c r="E871" s="199"/>
      <c r="F871" s="199"/>
      <c r="G871" s="199"/>
      <c r="H871" s="199"/>
      <c r="I871" s="199"/>
      <c r="J871" s="199"/>
      <c r="K871" s="199"/>
      <c r="L871" s="199"/>
      <c r="M871" s="199"/>
      <c r="N871" s="199"/>
      <c r="O871" s="199"/>
      <c r="P871" s="199"/>
      <c r="Q871" s="199"/>
      <c r="R871" s="199"/>
      <c r="S871" s="199"/>
      <c r="T871" s="200"/>
      <c r="U871" s="201"/>
      <c r="V871" s="202"/>
      <c r="W871" s="203"/>
      <c r="X871" s="204">
        <f t="shared" si="352"/>
        <v>0</v>
      </c>
      <c r="Y871" s="204">
        <f t="shared" si="353"/>
        <v>0</v>
      </c>
      <c r="Z871" s="204">
        <f t="shared" si="354"/>
        <v>0</v>
      </c>
      <c r="AA871" s="204">
        <f>IF(H871="E",G871*S871*W871,0)</f>
        <v>0</v>
      </c>
      <c r="AB871" s="205">
        <f>SUM(X871:AA871)</f>
        <v>0</v>
      </c>
      <c r="AC871" s="369"/>
      <c r="AD871" s="369"/>
      <c r="AE871" s="369" t="s">
        <v>13</v>
      </c>
      <c r="AF871" s="369"/>
    </row>
    <row r="872" spans="1:32" hidden="1" x14ac:dyDescent="0.2">
      <c r="A872" s="14" t="str">
        <f>+IF(AB872&lt;&gt;0,"X","")</f>
        <v/>
      </c>
      <c r="B872" s="126" t="s">
        <v>427</v>
      </c>
      <c r="C872" s="323"/>
      <c r="D872" s="241"/>
      <c r="E872" s="379"/>
      <c r="F872" s="98">
        <v>1.1499999999999999</v>
      </c>
      <c r="G872" s="85" t="s">
        <v>594</v>
      </c>
      <c r="H872" s="380" t="s">
        <v>65</v>
      </c>
      <c r="I872" s="379">
        <f>E872*F872</f>
        <v>0</v>
      </c>
      <c r="J872" s="379"/>
      <c r="K872" s="379"/>
      <c r="L872" s="379"/>
      <c r="M872" s="379"/>
      <c r="N872" s="379"/>
      <c r="O872" s="379"/>
      <c r="P872" s="379"/>
      <c r="Q872" s="379"/>
      <c r="R872" s="379"/>
      <c r="S872" s="19">
        <v>1</v>
      </c>
      <c r="T872" s="19" t="s">
        <v>491</v>
      </c>
      <c r="U872" s="11"/>
      <c r="V872" s="11"/>
      <c r="W872" s="120">
        <f>SUM(I872:R872)</f>
        <v>0</v>
      </c>
      <c r="X872" s="109">
        <f t="shared" si="352"/>
        <v>0</v>
      </c>
      <c r="Y872" s="109">
        <f t="shared" si="353"/>
        <v>0</v>
      </c>
      <c r="Z872" s="109">
        <f t="shared" si="354"/>
        <v>0</v>
      </c>
      <c r="AA872" s="109">
        <f>IF(H872="E",S872*W872,0)</f>
        <v>0</v>
      </c>
      <c r="AB872" s="109">
        <f t="shared" ref="AB872" si="367">SUM(X872:AA872)</f>
        <v>0</v>
      </c>
      <c r="AC872" s="386" t="s">
        <v>178</v>
      </c>
      <c r="AD872" s="382" t="s">
        <v>190</v>
      </c>
      <c r="AE872" s="383" t="s">
        <v>13</v>
      </c>
      <c r="AF872" s="382"/>
    </row>
    <row r="873" spans="1:32" ht="13.5" hidden="1" thickBot="1" x14ac:dyDescent="0.25">
      <c r="A873" s="14" t="str">
        <f>+IF(AB873&lt;&gt;0,"X","")</f>
        <v/>
      </c>
      <c r="B873" s="126" t="s">
        <v>428</v>
      </c>
      <c r="C873" s="15"/>
      <c r="D873" s="242"/>
      <c r="E873" s="379"/>
      <c r="F873" s="98">
        <v>1.1499999999999999</v>
      </c>
      <c r="G873" s="85" t="s">
        <v>594</v>
      </c>
      <c r="H873" s="15" t="s">
        <v>66</v>
      </c>
      <c r="I873" s="408">
        <f>E873*F873</f>
        <v>0</v>
      </c>
      <c r="J873" s="379"/>
      <c r="K873" s="379"/>
      <c r="L873" s="379"/>
      <c r="M873" s="379"/>
      <c r="N873" s="379"/>
      <c r="O873" s="379"/>
      <c r="P873" s="379"/>
      <c r="Q873" s="379"/>
      <c r="R873" s="379"/>
      <c r="S873" s="19">
        <v>1</v>
      </c>
      <c r="T873" s="19" t="s">
        <v>491</v>
      </c>
      <c r="U873" s="11"/>
      <c r="V873" s="46"/>
      <c r="W873" s="120">
        <f>SUM(I873:R873)</f>
        <v>0</v>
      </c>
      <c r="X873" s="109">
        <f t="shared" si="352"/>
        <v>0</v>
      </c>
      <c r="Y873" s="109">
        <f t="shared" si="353"/>
        <v>0</v>
      </c>
      <c r="Z873" s="109">
        <f t="shared" si="354"/>
        <v>0</v>
      </c>
      <c r="AA873" s="109">
        <f>IF(H873="E",S873*W873,0)</f>
        <v>0</v>
      </c>
      <c r="AB873" s="109">
        <f t="shared" ref="AB873" si="368">SUM(X873:AA873)</f>
        <v>0</v>
      </c>
      <c r="AC873" s="386" t="s">
        <v>178</v>
      </c>
      <c r="AD873" s="371" t="s">
        <v>190</v>
      </c>
      <c r="AE873" s="371" t="s">
        <v>731</v>
      </c>
      <c r="AF873" s="371"/>
    </row>
    <row r="874" spans="1:32" ht="13.5" hidden="1" thickBot="1" x14ac:dyDescent="0.25">
      <c r="A874" s="14" t="str">
        <f>IF(SUM(AB875:AB885)&lt;&gt;0,"X","")</f>
        <v/>
      </c>
      <c r="B874" s="198" t="s">
        <v>538</v>
      </c>
      <c r="C874" s="200" t="s">
        <v>13</v>
      </c>
      <c r="D874" s="239"/>
      <c r="E874" s="199" t="s">
        <v>539</v>
      </c>
      <c r="F874" s="199"/>
      <c r="G874" s="199"/>
      <c r="H874" s="199"/>
      <c r="I874" s="199"/>
      <c r="J874" s="199"/>
      <c r="K874" s="199"/>
      <c r="L874" s="199"/>
      <c r="M874" s="199"/>
      <c r="N874" s="199"/>
      <c r="O874" s="199"/>
      <c r="P874" s="199"/>
      <c r="Q874" s="199"/>
      <c r="R874" s="199"/>
      <c r="S874" s="199"/>
      <c r="T874" s="200"/>
      <c r="U874" s="201"/>
      <c r="V874" s="202"/>
      <c r="W874" s="203"/>
      <c r="X874" s="204">
        <f t="shared" si="352"/>
        <v>0</v>
      </c>
      <c r="Y874" s="204">
        <f t="shared" si="353"/>
        <v>0</v>
      </c>
      <c r="Z874" s="204">
        <f t="shared" si="354"/>
        <v>0</v>
      </c>
      <c r="AA874" s="204">
        <f>IF(H874="E",G874*S874*W874,0)</f>
        <v>0</v>
      </c>
      <c r="AB874" s="205">
        <f>SUM(X874:AA874)</f>
        <v>0</v>
      </c>
      <c r="AC874" s="369"/>
      <c r="AD874" s="369"/>
      <c r="AE874" s="369" t="s">
        <v>13</v>
      </c>
      <c r="AF874" s="369"/>
    </row>
    <row r="875" spans="1:32" hidden="1" x14ac:dyDescent="0.2">
      <c r="A875" s="14" t="str">
        <f t="shared" ref="A875:A885" si="369">+IF(AB875&lt;&gt;0,"X","")</f>
        <v/>
      </c>
      <c r="B875" s="69" t="s">
        <v>429</v>
      </c>
      <c r="C875" s="15"/>
      <c r="D875" s="349">
        <f>I875/E875</f>
        <v>0</v>
      </c>
      <c r="E875" s="249">
        <f>48*(1+$S$838)</f>
        <v>52.800000000000004</v>
      </c>
      <c r="F875" s="21"/>
      <c r="G875" s="85"/>
      <c r="H875" s="15" t="s">
        <v>66</v>
      </c>
      <c r="I875" s="381"/>
      <c r="J875" s="381"/>
      <c r="K875" s="379"/>
      <c r="L875" s="381"/>
      <c r="M875" s="381"/>
      <c r="N875" s="381"/>
      <c r="O875" s="381"/>
      <c r="P875" s="381"/>
      <c r="Q875" s="381"/>
      <c r="R875" s="381"/>
      <c r="S875" s="18">
        <v>1</v>
      </c>
      <c r="T875" s="19" t="s">
        <v>491</v>
      </c>
      <c r="U875" s="11"/>
      <c r="V875" s="46"/>
      <c r="W875" s="223">
        <f t="shared" ref="W875:W885" si="370">SUM(I875:R875)</f>
        <v>0</v>
      </c>
      <c r="X875" s="110">
        <f t="shared" si="352"/>
        <v>0</v>
      </c>
      <c r="Y875" s="110">
        <f t="shared" si="353"/>
        <v>0</v>
      </c>
      <c r="Z875" s="110">
        <f t="shared" si="354"/>
        <v>0</v>
      </c>
      <c r="AA875" s="110">
        <f t="shared" ref="AA875:AA885" si="371">IF(H875="E",S875*W875,0)</f>
        <v>0</v>
      </c>
      <c r="AB875" s="110">
        <f t="shared" ref="AB875" si="372">SUM(X875:AA875)</f>
        <v>0</v>
      </c>
      <c r="AC875" s="371" t="s">
        <v>191</v>
      </c>
      <c r="AD875" s="371" t="s">
        <v>156</v>
      </c>
      <c r="AE875" s="371" t="s">
        <v>191</v>
      </c>
      <c r="AF875" s="371"/>
    </row>
    <row r="876" spans="1:32" hidden="1" x14ac:dyDescent="0.2">
      <c r="A876" s="14" t="str">
        <f t="shared" ref="A876" si="373">+IF(AB876&lt;&gt;0,"X","")</f>
        <v/>
      </c>
      <c r="B876" s="69" t="s">
        <v>430</v>
      </c>
      <c r="C876" s="15"/>
      <c r="D876" s="242"/>
      <c r="E876" s="407"/>
      <c r="F876" s="21"/>
      <c r="G876" s="85"/>
      <c r="H876" s="15" t="s">
        <v>68</v>
      </c>
      <c r="I876" s="381"/>
      <c r="J876" s="381"/>
      <c r="K876" s="379"/>
      <c r="L876" s="381"/>
      <c r="M876" s="381"/>
      <c r="N876" s="381"/>
      <c r="O876" s="381"/>
      <c r="P876" s="381"/>
      <c r="Q876" s="381"/>
      <c r="R876" s="381"/>
      <c r="S876" s="18">
        <v>1</v>
      </c>
      <c r="T876" s="19" t="s">
        <v>491</v>
      </c>
      <c r="U876" s="11"/>
      <c r="V876" s="46"/>
      <c r="W876" s="223">
        <f t="shared" si="370"/>
        <v>0</v>
      </c>
      <c r="X876" s="110">
        <f t="shared" si="352"/>
        <v>0</v>
      </c>
      <c r="Y876" s="110">
        <f t="shared" si="353"/>
        <v>0</v>
      </c>
      <c r="Z876" s="110">
        <f t="shared" si="354"/>
        <v>0</v>
      </c>
      <c r="AA876" s="110">
        <f t="shared" si="371"/>
        <v>0</v>
      </c>
      <c r="AB876" s="110">
        <f t="shared" ref="AB876" si="374">SUM(X876:AA876)</f>
        <v>0</v>
      </c>
      <c r="AC876" s="371" t="s">
        <v>191</v>
      </c>
      <c r="AD876" s="371" t="s">
        <v>156</v>
      </c>
      <c r="AE876" s="371"/>
      <c r="AF876" s="371"/>
    </row>
    <row r="877" spans="1:32" hidden="1" x14ac:dyDescent="0.2">
      <c r="A877" s="14" t="str">
        <f t="shared" si="369"/>
        <v/>
      </c>
      <c r="B877" s="69" t="s">
        <v>431</v>
      </c>
      <c r="C877" s="15"/>
      <c r="D877" s="242"/>
      <c r="E877" s="407"/>
      <c r="F877" s="21"/>
      <c r="G877" s="85" t="s">
        <v>594</v>
      </c>
      <c r="H877" s="15" t="s">
        <v>65</v>
      </c>
      <c r="I877" s="379"/>
      <c r="J877" s="379"/>
      <c r="K877" s="379"/>
      <c r="L877" s="379"/>
      <c r="M877" s="379"/>
      <c r="N877" s="379"/>
      <c r="O877" s="379"/>
      <c r="P877" s="379"/>
      <c r="Q877" s="379"/>
      <c r="R877" s="379"/>
      <c r="S877" s="19">
        <v>1</v>
      </c>
      <c r="T877" s="19" t="s">
        <v>491</v>
      </c>
      <c r="U877" s="11"/>
      <c r="V877" s="11"/>
      <c r="W877" s="120">
        <f t="shared" si="370"/>
        <v>0</v>
      </c>
      <c r="X877" s="109">
        <f t="shared" si="352"/>
        <v>0</v>
      </c>
      <c r="Y877" s="110">
        <f t="shared" si="353"/>
        <v>0</v>
      </c>
      <c r="Z877" s="109">
        <f t="shared" si="354"/>
        <v>0</v>
      </c>
      <c r="AA877" s="109">
        <f t="shared" si="371"/>
        <v>0</v>
      </c>
      <c r="AB877" s="109">
        <f t="shared" ref="AB877:AB885" si="375">SUM(X877:AA877)</f>
        <v>0</v>
      </c>
      <c r="AC877" s="371" t="s">
        <v>191</v>
      </c>
      <c r="AD877" s="371" t="s">
        <v>158</v>
      </c>
      <c r="AE877" s="383" t="s">
        <v>13</v>
      </c>
      <c r="AF877" s="371"/>
    </row>
    <row r="878" spans="1:32" hidden="1" x14ac:dyDescent="0.2">
      <c r="A878" s="14" t="str">
        <f t="shared" ref="A878" si="376">+IF(AB878&lt;&gt;0,"X","")</f>
        <v/>
      </c>
      <c r="B878" s="69" t="s">
        <v>432</v>
      </c>
      <c r="C878" s="15"/>
      <c r="D878" s="349">
        <f>I878/E878</f>
        <v>0</v>
      </c>
      <c r="E878" s="249">
        <f>48*(1+$S$838)</f>
        <v>52.800000000000004</v>
      </c>
      <c r="F878" s="21"/>
      <c r="G878" s="85"/>
      <c r="H878" s="15" t="s">
        <v>66</v>
      </c>
      <c r="I878" s="381"/>
      <c r="J878" s="381"/>
      <c r="K878" s="379"/>
      <c r="L878" s="381"/>
      <c r="M878" s="381"/>
      <c r="N878" s="381"/>
      <c r="O878" s="381"/>
      <c r="P878" s="381"/>
      <c r="Q878" s="381"/>
      <c r="R878" s="381"/>
      <c r="S878" s="18">
        <v>1</v>
      </c>
      <c r="T878" s="19" t="s">
        <v>491</v>
      </c>
      <c r="U878" s="11"/>
      <c r="V878" s="46"/>
      <c r="W878" s="223">
        <f t="shared" si="370"/>
        <v>0</v>
      </c>
      <c r="X878" s="110">
        <f t="shared" si="352"/>
        <v>0</v>
      </c>
      <c r="Y878" s="110">
        <f t="shared" si="353"/>
        <v>0</v>
      </c>
      <c r="Z878" s="110">
        <f t="shared" si="354"/>
        <v>0</v>
      </c>
      <c r="AA878" s="110">
        <f t="shared" si="371"/>
        <v>0</v>
      </c>
      <c r="AB878" s="110">
        <f t="shared" ref="AB878" si="377">SUM(X878:AA878)</f>
        <v>0</v>
      </c>
      <c r="AC878" s="371" t="s">
        <v>191</v>
      </c>
      <c r="AD878" s="371" t="s">
        <v>158</v>
      </c>
      <c r="AE878" s="371" t="s">
        <v>191</v>
      </c>
      <c r="AF878" s="371"/>
    </row>
    <row r="879" spans="1:32" hidden="1" x14ac:dyDescent="0.2">
      <c r="A879" s="14" t="str">
        <f t="shared" si="369"/>
        <v/>
      </c>
      <c r="B879" s="69" t="s">
        <v>433</v>
      </c>
      <c r="C879" s="15"/>
      <c r="D879" s="242"/>
      <c r="E879" s="407"/>
      <c r="F879" s="21"/>
      <c r="G879" s="85"/>
      <c r="H879" s="15" t="s">
        <v>68</v>
      </c>
      <c r="I879" s="381"/>
      <c r="J879" s="381"/>
      <c r="K879" s="379"/>
      <c r="L879" s="381"/>
      <c r="M879" s="381"/>
      <c r="N879" s="381"/>
      <c r="O879" s="381"/>
      <c r="P879" s="381"/>
      <c r="Q879" s="381"/>
      <c r="R879" s="381"/>
      <c r="S879" s="18">
        <v>1</v>
      </c>
      <c r="T879" s="19" t="s">
        <v>491</v>
      </c>
      <c r="U879" s="11"/>
      <c r="V879" s="46"/>
      <c r="W879" s="223">
        <f t="shared" si="370"/>
        <v>0</v>
      </c>
      <c r="X879" s="110">
        <f t="shared" si="352"/>
        <v>0</v>
      </c>
      <c r="Y879" s="110">
        <f t="shared" si="353"/>
        <v>0</v>
      </c>
      <c r="Z879" s="110">
        <f t="shared" si="354"/>
        <v>0</v>
      </c>
      <c r="AA879" s="110">
        <f t="shared" si="371"/>
        <v>0</v>
      </c>
      <c r="AB879" s="110">
        <f t="shared" si="375"/>
        <v>0</v>
      </c>
      <c r="AC879" s="371" t="s">
        <v>191</v>
      </c>
      <c r="AD879" s="371" t="s">
        <v>158</v>
      </c>
      <c r="AE879" s="371"/>
      <c r="AF879" s="371"/>
    </row>
    <row r="880" spans="1:32" hidden="1" x14ac:dyDescent="0.2">
      <c r="A880" s="14" t="str">
        <f t="shared" si="369"/>
        <v/>
      </c>
      <c r="B880" s="69" t="s">
        <v>434</v>
      </c>
      <c r="C880" s="15"/>
      <c r="D880" s="242"/>
      <c r="E880" s="407"/>
      <c r="F880" s="21"/>
      <c r="G880" s="85" t="s">
        <v>594</v>
      </c>
      <c r="H880" s="15" t="s">
        <v>65</v>
      </c>
      <c r="I880" s="379"/>
      <c r="J880" s="379"/>
      <c r="K880" s="379"/>
      <c r="L880" s="379"/>
      <c r="M880" s="379"/>
      <c r="N880" s="379"/>
      <c r="O880" s="379"/>
      <c r="P880" s="379"/>
      <c r="Q880" s="379"/>
      <c r="R880" s="379"/>
      <c r="S880" s="19">
        <v>1</v>
      </c>
      <c r="T880" s="19" t="s">
        <v>491</v>
      </c>
      <c r="U880" s="11"/>
      <c r="V880" s="11"/>
      <c r="W880" s="120">
        <f t="shared" si="370"/>
        <v>0</v>
      </c>
      <c r="X880" s="109">
        <f t="shared" si="352"/>
        <v>0</v>
      </c>
      <c r="Y880" s="110">
        <f t="shared" si="353"/>
        <v>0</v>
      </c>
      <c r="Z880" s="109">
        <f t="shared" si="354"/>
        <v>0</v>
      </c>
      <c r="AA880" s="109">
        <f t="shared" si="371"/>
        <v>0</v>
      </c>
      <c r="AB880" s="109">
        <f t="shared" ref="AB880:AB881" si="378">SUM(X880:AA880)</f>
        <v>0</v>
      </c>
      <c r="AC880" s="371" t="s">
        <v>191</v>
      </c>
      <c r="AD880" s="371" t="s">
        <v>192</v>
      </c>
      <c r="AE880" s="383" t="s">
        <v>13</v>
      </c>
      <c r="AF880" s="371"/>
    </row>
    <row r="881" spans="1:32" hidden="1" x14ac:dyDescent="0.2">
      <c r="A881" s="14" t="str">
        <f t="shared" si="369"/>
        <v/>
      </c>
      <c r="B881" s="69" t="s">
        <v>435</v>
      </c>
      <c r="C881" s="15"/>
      <c r="D881" s="349">
        <f>I881/E881</f>
        <v>0</v>
      </c>
      <c r="E881" s="249">
        <f>48*(1+$S$838)</f>
        <v>52.800000000000004</v>
      </c>
      <c r="F881" s="21"/>
      <c r="G881" s="85"/>
      <c r="H881" s="15" t="s">
        <v>66</v>
      </c>
      <c r="I881" s="381"/>
      <c r="J881" s="381"/>
      <c r="K881" s="379"/>
      <c r="L881" s="381"/>
      <c r="M881" s="381"/>
      <c r="N881" s="381"/>
      <c r="O881" s="381"/>
      <c r="P881" s="381"/>
      <c r="Q881" s="381"/>
      <c r="R881" s="381"/>
      <c r="S881" s="18">
        <v>1</v>
      </c>
      <c r="T881" s="19" t="s">
        <v>491</v>
      </c>
      <c r="U881" s="11"/>
      <c r="V881" s="46"/>
      <c r="W881" s="223">
        <f t="shared" si="370"/>
        <v>0</v>
      </c>
      <c r="X881" s="110">
        <f t="shared" si="352"/>
        <v>0</v>
      </c>
      <c r="Y881" s="110">
        <f t="shared" si="353"/>
        <v>0</v>
      </c>
      <c r="Z881" s="110">
        <f t="shared" si="354"/>
        <v>0</v>
      </c>
      <c r="AA881" s="110">
        <f t="shared" si="371"/>
        <v>0</v>
      </c>
      <c r="AB881" s="110">
        <f t="shared" si="378"/>
        <v>0</v>
      </c>
      <c r="AC881" s="371" t="s">
        <v>191</v>
      </c>
      <c r="AD881" s="371" t="s">
        <v>192</v>
      </c>
      <c r="AE881" s="371" t="s">
        <v>191</v>
      </c>
      <c r="AF881" s="371"/>
    </row>
    <row r="882" spans="1:32" hidden="1" x14ac:dyDescent="0.2">
      <c r="A882" s="14" t="str">
        <f t="shared" ref="A882" si="379">+IF(AB882&lt;&gt;0,"X","")</f>
        <v/>
      </c>
      <c r="B882" s="69" t="s">
        <v>436</v>
      </c>
      <c r="C882" s="15"/>
      <c r="D882" s="242"/>
      <c r="E882" s="407"/>
      <c r="F882" s="21"/>
      <c r="G882" s="85"/>
      <c r="H882" s="15" t="s">
        <v>68</v>
      </c>
      <c r="I882" s="381"/>
      <c r="J882" s="381"/>
      <c r="K882" s="379"/>
      <c r="L882" s="381"/>
      <c r="M882" s="381"/>
      <c r="N882" s="381"/>
      <c r="O882" s="381"/>
      <c r="P882" s="381"/>
      <c r="Q882" s="381"/>
      <c r="R882" s="381"/>
      <c r="S882" s="18">
        <v>1</v>
      </c>
      <c r="T882" s="19" t="s">
        <v>491</v>
      </c>
      <c r="U882" s="11"/>
      <c r="V882" s="46"/>
      <c r="W882" s="223">
        <f t="shared" si="370"/>
        <v>0</v>
      </c>
      <c r="X882" s="110">
        <f t="shared" si="352"/>
        <v>0</v>
      </c>
      <c r="Y882" s="110">
        <f t="shared" si="353"/>
        <v>0</v>
      </c>
      <c r="Z882" s="110">
        <f t="shared" si="354"/>
        <v>0</v>
      </c>
      <c r="AA882" s="110">
        <f t="shared" si="371"/>
        <v>0</v>
      </c>
      <c r="AB882" s="110">
        <f t="shared" ref="AB882" si="380">SUM(X882:AA882)</f>
        <v>0</v>
      </c>
      <c r="AC882" s="371" t="s">
        <v>191</v>
      </c>
      <c r="AD882" s="371" t="s">
        <v>192</v>
      </c>
      <c r="AE882" s="371"/>
      <c r="AF882" s="371"/>
    </row>
    <row r="883" spans="1:32" hidden="1" x14ac:dyDescent="0.2">
      <c r="A883" s="14" t="str">
        <f t="shared" si="369"/>
        <v/>
      </c>
      <c r="B883" s="69" t="s">
        <v>437</v>
      </c>
      <c r="C883" s="15"/>
      <c r="D883" s="242"/>
      <c r="E883" s="407"/>
      <c r="F883" s="21"/>
      <c r="G883" s="85" t="s">
        <v>594</v>
      </c>
      <c r="H883" s="15" t="s">
        <v>65</v>
      </c>
      <c r="I883" s="379"/>
      <c r="J883" s="379"/>
      <c r="K883" s="379"/>
      <c r="L883" s="379"/>
      <c r="M883" s="379"/>
      <c r="N883" s="379"/>
      <c r="O883" s="379"/>
      <c r="P883" s="379"/>
      <c r="Q883" s="379"/>
      <c r="R883" s="379"/>
      <c r="S883" s="19">
        <v>1</v>
      </c>
      <c r="T883" s="19" t="s">
        <v>491</v>
      </c>
      <c r="U883" s="11"/>
      <c r="V883" s="11"/>
      <c r="W883" s="120">
        <f t="shared" si="370"/>
        <v>0</v>
      </c>
      <c r="X883" s="109">
        <f t="shared" si="352"/>
        <v>0</v>
      </c>
      <c r="Y883" s="110">
        <f t="shared" si="353"/>
        <v>0</v>
      </c>
      <c r="Z883" s="109">
        <f t="shared" si="354"/>
        <v>0</v>
      </c>
      <c r="AA883" s="109">
        <f t="shared" si="371"/>
        <v>0</v>
      </c>
      <c r="AB883" s="109">
        <f t="shared" si="375"/>
        <v>0</v>
      </c>
      <c r="AC883" s="371" t="s">
        <v>191</v>
      </c>
      <c r="AD883" s="371" t="s">
        <v>157</v>
      </c>
      <c r="AE883" s="383" t="s">
        <v>13</v>
      </c>
      <c r="AF883" s="371"/>
    </row>
    <row r="884" spans="1:32" hidden="1" x14ac:dyDescent="0.2">
      <c r="A884" s="14" t="str">
        <f t="shared" ref="A884" si="381">+IF(AB884&lt;&gt;0,"X","")</f>
        <v/>
      </c>
      <c r="B884" s="69" t="s">
        <v>438</v>
      </c>
      <c r="C884" s="15"/>
      <c r="D884" s="349">
        <f>I884/E884</f>
        <v>0</v>
      </c>
      <c r="E884" s="249">
        <f>48*(1+$S$838)</f>
        <v>52.800000000000004</v>
      </c>
      <c r="G884" s="85"/>
      <c r="H884" s="15" t="s">
        <v>66</v>
      </c>
      <c r="I884" s="381"/>
      <c r="J884" s="379"/>
      <c r="K884" s="379"/>
      <c r="L884" s="379"/>
      <c r="M884" s="379"/>
      <c r="N884" s="379"/>
      <c r="O884" s="379"/>
      <c r="P884" s="379"/>
      <c r="Q884" s="379"/>
      <c r="R884" s="379"/>
      <c r="S884" s="19">
        <v>1</v>
      </c>
      <c r="T884" s="19" t="s">
        <v>491</v>
      </c>
      <c r="U884" s="11"/>
      <c r="V884" s="11"/>
      <c r="W884" s="120">
        <f t="shared" si="370"/>
        <v>0</v>
      </c>
      <c r="X884" s="109">
        <f t="shared" si="352"/>
        <v>0</v>
      </c>
      <c r="Y884" s="110">
        <f t="shared" si="353"/>
        <v>0</v>
      </c>
      <c r="Z884" s="109">
        <f t="shared" si="354"/>
        <v>0</v>
      </c>
      <c r="AA884" s="109">
        <f t="shared" si="371"/>
        <v>0</v>
      </c>
      <c r="AB884" s="109">
        <f t="shared" ref="AB884" si="382">SUM(X884:AA884)</f>
        <v>0</v>
      </c>
      <c r="AC884" s="371" t="s">
        <v>191</v>
      </c>
      <c r="AD884" s="371" t="s">
        <v>157</v>
      </c>
      <c r="AE884" s="371" t="s">
        <v>191</v>
      </c>
      <c r="AF884" s="371"/>
    </row>
    <row r="885" spans="1:32" hidden="1" x14ac:dyDescent="0.2">
      <c r="A885" s="14" t="str">
        <f t="shared" si="369"/>
        <v/>
      </c>
      <c r="B885" s="69" t="s">
        <v>439</v>
      </c>
      <c r="C885" s="15"/>
      <c r="D885" s="242"/>
      <c r="E885" s="407"/>
      <c r="F885" s="21"/>
      <c r="G885" s="85"/>
      <c r="H885" s="15" t="s">
        <v>68</v>
      </c>
      <c r="I885" s="381"/>
      <c r="J885" s="381"/>
      <c r="K885" s="379"/>
      <c r="L885" s="381"/>
      <c r="M885" s="381"/>
      <c r="N885" s="381"/>
      <c r="O885" s="381"/>
      <c r="P885" s="381"/>
      <c r="Q885" s="381"/>
      <c r="R885" s="381"/>
      <c r="S885" s="18">
        <v>1</v>
      </c>
      <c r="T885" s="19" t="s">
        <v>491</v>
      </c>
      <c r="U885" s="11"/>
      <c r="V885" s="46"/>
      <c r="W885" s="223">
        <f t="shared" si="370"/>
        <v>0</v>
      </c>
      <c r="X885" s="110">
        <f t="shared" si="352"/>
        <v>0</v>
      </c>
      <c r="Y885" s="110">
        <f t="shared" si="353"/>
        <v>0</v>
      </c>
      <c r="Z885" s="110">
        <f t="shared" si="354"/>
        <v>0</v>
      </c>
      <c r="AA885" s="110">
        <f t="shared" si="371"/>
        <v>0</v>
      </c>
      <c r="AB885" s="110">
        <f t="shared" si="375"/>
        <v>0</v>
      </c>
      <c r="AC885" s="371" t="s">
        <v>191</v>
      </c>
      <c r="AD885" s="371" t="s">
        <v>157</v>
      </c>
      <c r="AE885" s="371"/>
      <c r="AF885" s="371"/>
    </row>
    <row r="886" spans="1:32" ht="13.5" hidden="1" thickBot="1" x14ac:dyDescent="0.25">
      <c r="A886" s="14" t="str">
        <f>IF(SUM(AB887:AB889)&lt;&gt;0,"X","")</f>
        <v/>
      </c>
      <c r="B886" s="198" t="s">
        <v>276</v>
      </c>
      <c r="C886" s="200" t="s">
        <v>13</v>
      </c>
      <c r="D886" s="239"/>
      <c r="E886" s="199" t="s">
        <v>539</v>
      </c>
      <c r="F886" s="199"/>
      <c r="G886" s="199"/>
      <c r="H886" s="199"/>
      <c r="I886" s="199"/>
      <c r="J886" s="199"/>
      <c r="K886" s="199"/>
      <c r="L886" s="199"/>
      <c r="M886" s="199"/>
      <c r="N886" s="199"/>
      <c r="O886" s="199"/>
      <c r="P886" s="199"/>
      <c r="Q886" s="199"/>
      <c r="R886" s="199"/>
      <c r="S886" s="199"/>
      <c r="T886" s="200"/>
      <c r="U886" s="201"/>
      <c r="V886" s="202"/>
      <c r="W886" s="203"/>
      <c r="X886" s="204">
        <f t="shared" si="352"/>
        <v>0</v>
      </c>
      <c r="Y886" s="204">
        <f t="shared" si="353"/>
        <v>0</v>
      </c>
      <c r="Z886" s="204">
        <f t="shared" si="354"/>
        <v>0</v>
      </c>
      <c r="AA886" s="204">
        <f>IF(H886="E",G886*S886*W886,0)</f>
        <v>0</v>
      </c>
      <c r="AB886" s="205">
        <f>SUM(X886:AA886)</f>
        <v>0</v>
      </c>
      <c r="AC886" s="369"/>
      <c r="AD886" s="369"/>
      <c r="AE886" s="369" t="s">
        <v>13</v>
      </c>
      <c r="AF886" s="369"/>
    </row>
    <row r="887" spans="1:32" hidden="1" x14ac:dyDescent="0.2">
      <c r="A887" s="14" t="str">
        <f>+IF(AB887&lt;&gt;0,"X","")</f>
        <v/>
      </c>
      <c r="B887" s="69" t="s">
        <v>440</v>
      </c>
      <c r="C887" s="15"/>
      <c r="D887" s="242"/>
      <c r="E887" s="407"/>
      <c r="F887" s="21"/>
      <c r="G887" s="85" t="s">
        <v>594</v>
      </c>
      <c r="H887" s="15" t="s">
        <v>65</v>
      </c>
      <c r="I887" s="379"/>
      <c r="J887" s="379"/>
      <c r="K887" s="379"/>
      <c r="L887" s="379"/>
      <c r="M887" s="379"/>
      <c r="N887" s="379"/>
      <c r="O887" s="379"/>
      <c r="P887" s="379"/>
      <c r="Q887" s="379"/>
      <c r="R887" s="379"/>
      <c r="S887" s="19">
        <v>1</v>
      </c>
      <c r="T887" s="19" t="s">
        <v>491</v>
      </c>
      <c r="U887" s="11"/>
      <c r="V887" s="11"/>
      <c r="W887" s="120">
        <f>SUM(I887:R887)</f>
        <v>0</v>
      </c>
      <c r="X887" s="109">
        <f t="shared" si="352"/>
        <v>0</v>
      </c>
      <c r="Y887" s="110">
        <f t="shared" si="353"/>
        <v>0</v>
      </c>
      <c r="Z887" s="109">
        <f t="shared" si="354"/>
        <v>0</v>
      </c>
      <c r="AA887" s="109">
        <f>IF(H887="E",S887*W887,0)</f>
        <v>0</v>
      </c>
      <c r="AB887" s="109">
        <f t="shared" ref="AB887:AB889" si="383">SUM(X887:AA887)</f>
        <v>0</v>
      </c>
      <c r="AC887" s="371" t="s">
        <v>166</v>
      </c>
      <c r="AD887" s="371" t="s">
        <v>154</v>
      </c>
      <c r="AE887" s="383" t="s">
        <v>13</v>
      </c>
      <c r="AF887" s="371"/>
    </row>
    <row r="888" spans="1:32" hidden="1" x14ac:dyDescent="0.2">
      <c r="A888" s="14" t="str">
        <f>+IF(AB888&lt;&gt;0,"X","")</f>
        <v/>
      </c>
      <c r="B888" s="69" t="s">
        <v>441</v>
      </c>
      <c r="C888" s="15"/>
      <c r="D888" s="349">
        <f>I888/E888</f>
        <v>0</v>
      </c>
      <c r="E888" s="249">
        <f>50*(1+$S$838)</f>
        <v>55.000000000000007</v>
      </c>
      <c r="G888" s="85"/>
      <c r="H888" s="15" t="s">
        <v>66</v>
      </c>
      <c r="I888" s="381"/>
      <c r="J888" s="381"/>
      <c r="K888" s="379"/>
      <c r="L888" s="381"/>
      <c r="M888" s="381"/>
      <c r="N888" s="381"/>
      <c r="O888" s="381"/>
      <c r="P888" s="381"/>
      <c r="Q888" s="381"/>
      <c r="R888" s="381"/>
      <c r="S888" s="18">
        <v>1</v>
      </c>
      <c r="T888" s="19" t="s">
        <v>491</v>
      </c>
      <c r="U888" s="11"/>
      <c r="V888" s="46"/>
      <c r="W888" s="223">
        <f>SUM(I888:R888)</f>
        <v>0</v>
      </c>
      <c r="X888" s="110">
        <f t="shared" si="352"/>
        <v>0</v>
      </c>
      <c r="Y888" s="110">
        <f t="shared" si="353"/>
        <v>0</v>
      </c>
      <c r="Z888" s="110">
        <f t="shared" si="354"/>
        <v>0</v>
      </c>
      <c r="AA888" s="110">
        <f>IF(H888="E",S888*W888,0)</f>
        <v>0</v>
      </c>
      <c r="AB888" s="110">
        <f t="shared" ref="AB888" si="384">SUM(X888:AA888)</f>
        <v>0</v>
      </c>
      <c r="AC888" s="371" t="s">
        <v>166</v>
      </c>
      <c r="AD888" s="371" t="s">
        <v>154</v>
      </c>
      <c r="AE888" s="371" t="s">
        <v>154</v>
      </c>
      <c r="AF888" s="371"/>
    </row>
    <row r="889" spans="1:32" hidden="1" x14ac:dyDescent="0.2">
      <c r="A889" s="14" t="str">
        <f>+IF(AB889&lt;&gt;0,"X","")</f>
        <v/>
      </c>
      <c r="B889" s="69" t="s">
        <v>442</v>
      </c>
      <c r="C889" s="15"/>
      <c r="D889" s="242"/>
      <c r="E889" s="407"/>
      <c r="F889" s="21"/>
      <c r="G889" s="85"/>
      <c r="H889" s="15" t="s">
        <v>68</v>
      </c>
      <c r="I889" s="381"/>
      <c r="J889" s="381"/>
      <c r="K889" s="379"/>
      <c r="L889" s="381"/>
      <c r="M889" s="381"/>
      <c r="N889" s="381"/>
      <c r="O889" s="381"/>
      <c r="P889" s="381"/>
      <c r="Q889" s="381"/>
      <c r="R889" s="381"/>
      <c r="S889" s="18">
        <v>1</v>
      </c>
      <c r="T889" s="19" t="s">
        <v>491</v>
      </c>
      <c r="U889" s="11"/>
      <c r="V889" s="46"/>
      <c r="W889" s="223">
        <f>SUM(I889:R889)</f>
        <v>0</v>
      </c>
      <c r="X889" s="110">
        <f t="shared" si="352"/>
        <v>0</v>
      </c>
      <c r="Y889" s="110">
        <f t="shared" si="353"/>
        <v>0</v>
      </c>
      <c r="Z889" s="110">
        <f t="shared" si="354"/>
        <v>0</v>
      </c>
      <c r="AA889" s="110">
        <f>IF(H889="E",S889*W889,0)</f>
        <v>0</v>
      </c>
      <c r="AB889" s="110">
        <f t="shared" si="383"/>
        <v>0</v>
      </c>
      <c r="AC889" s="371" t="s">
        <v>166</v>
      </c>
      <c r="AD889" s="371" t="s">
        <v>154</v>
      </c>
      <c r="AE889" s="371"/>
      <c r="AF889" s="371"/>
    </row>
    <row r="890" spans="1:32" ht="13.5" hidden="1" thickBot="1" x14ac:dyDescent="0.25">
      <c r="A890" s="14" t="str">
        <f>IF(SUM(AB891:AB894)&lt;&gt;0,"X","")</f>
        <v/>
      </c>
      <c r="B890" s="198" t="s">
        <v>443</v>
      </c>
      <c r="C890" s="200" t="s">
        <v>13</v>
      </c>
      <c r="D890" s="239"/>
      <c r="E890" s="199" t="s">
        <v>539</v>
      </c>
      <c r="F890" s="199"/>
      <c r="G890" s="199"/>
      <c r="H890" s="199"/>
      <c r="I890" s="199"/>
      <c r="J890" s="199"/>
      <c r="K890" s="199"/>
      <c r="L890" s="199"/>
      <c r="M890" s="199"/>
      <c r="N890" s="199"/>
      <c r="O890" s="199"/>
      <c r="P890" s="199"/>
      <c r="Q890" s="199"/>
      <c r="R890" s="199"/>
      <c r="S890" s="199"/>
      <c r="T890" s="200"/>
      <c r="U890" s="201"/>
      <c r="V890" s="202"/>
      <c r="W890" s="203"/>
      <c r="X890" s="204">
        <f t="shared" si="352"/>
        <v>0</v>
      </c>
      <c r="Y890" s="204">
        <f t="shared" si="353"/>
        <v>0</v>
      </c>
      <c r="Z890" s="204">
        <f t="shared" si="354"/>
        <v>0</v>
      </c>
      <c r="AA890" s="204">
        <f>IF(H890="E",G890*S890*W890,0)</f>
        <v>0</v>
      </c>
      <c r="AB890" s="205">
        <f>SUM(X890:AA890)</f>
        <v>0</v>
      </c>
      <c r="AC890" s="369"/>
      <c r="AD890" s="369"/>
      <c r="AE890" s="369" t="s">
        <v>13</v>
      </c>
      <c r="AF890" s="369"/>
    </row>
    <row r="891" spans="1:32" hidden="1" x14ac:dyDescent="0.2">
      <c r="A891" s="14" t="str">
        <f>+IF(AB891&lt;&gt;0,"X","")</f>
        <v/>
      </c>
      <c r="B891" s="69" t="s">
        <v>444</v>
      </c>
      <c r="C891" s="15"/>
      <c r="D891" s="242"/>
      <c r="E891" s="407"/>
      <c r="F891" s="21"/>
      <c r="G891" s="85" t="s">
        <v>594</v>
      </c>
      <c r="H891" s="15" t="s">
        <v>65</v>
      </c>
      <c r="I891" s="379"/>
      <c r="J891" s="379"/>
      <c r="K891" s="379"/>
      <c r="L891" s="379"/>
      <c r="M891" s="379"/>
      <c r="N891" s="379"/>
      <c r="O891" s="379"/>
      <c r="P891" s="379"/>
      <c r="Q891" s="379"/>
      <c r="R891" s="379"/>
      <c r="S891" s="19">
        <v>1</v>
      </c>
      <c r="T891" s="19" t="s">
        <v>491</v>
      </c>
      <c r="U891" s="11"/>
      <c r="V891" s="11"/>
      <c r="W891" s="120">
        <f>SUM(I891:R891)</f>
        <v>0</v>
      </c>
      <c r="X891" s="109">
        <f t="shared" si="352"/>
        <v>0</v>
      </c>
      <c r="Y891" s="110">
        <f t="shared" si="353"/>
        <v>0</v>
      </c>
      <c r="Z891" s="109">
        <f t="shared" si="354"/>
        <v>0</v>
      </c>
      <c r="AA891" s="109">
        <f>IF(H891="E",S891*W891,0)</f>
        <v>0</v>
      </c>
      <c r="AB891" s="109">
        <f t="shared" si="355"/>
        <v>0</v>
      </c>
      <c r="AC891" s="371" t="s">
        <v>167</v>
      </c>
      <c r="AD891" s="371" t="s">
        <v>193</v>
      </c>
      <c r="AE891" s="383" t="s">
        <v>13</v>
      </c>
      <c r="AF891" s="371"/>
    </row>
    <row r="892" spans="1:32" hidden="1" x14ac:dyDescent="0.2">
      <c r="A892" s="14" t="str">
        <f>+IF(AB892&lt;&gt;0,"X","")</f>
        <v/>
      </c>
      <c r="B892" s="69" t="s">
        <v>445</v>
      </c>
      <c r="C892" s="15"/>
      <c r="D892" s="349">
        <f>X892/E892</f>
        <v>0</v>
      </c>
      <c r="E892" s="250">
        <v>65</v>
      </c>
      <c r="G892" s="85"/>
      <c r="H892" s="15" t="s">
        <v>66</v>
      </c>
      <c r="I892" s="381"/>
      <c r="J892" s="381"/>
      <c r="K892" s="379"/>
      <c r="L892" s="381"/>
      <c r="M892" s="381"/>
      <c r="N892" s="381"/>
      <c r="O892" s="381"/>
      <c r="P892" s="381"/>
      <c r="Q892" s="381"/>
      <c r="R892" s="381"/>
      <c r="S892" s="18">
        <v>1</v>
      </c>
      <c r="T892" s="19" t="s">
        <v>491</v>
      </c>
      <c r="U892" s="11"/>
      <c r="V892" s="46"/>
      <c r="W892" s="223">
        <f>SUM(I892:R892)</f>
        <v>0</v>
      </c>
      <c r="X892" s="110">
        <f t="shared" si="352"/>
        <v>0</v>
      </c>
      <c r="Y892" s="110">
        <f t="shared" si="353"/>
        <v>0</v>
      </c>
      <c r="Z892" s="110">
        <f t="shared" si="354"/>
        <v>0</v>
      </c>
      <c r="AA892" s="110">
        <f>IF(H892="E",S892*W892,0)</f>
        <v>0</v>
      </c>
      <c r="AB892" s="110">
        <f t="shared" si="355"/>
        <v>0</v>
      </c>
      <c r="AC892" s="371" t="s">
        <v>167</v>
      </c>
      <c r="AD892" s="371" t="s">
        <v>193</v>
      </c>
      <c r="AE892" s="371" t="s">
        <v>61</v>
      </c>
      <c r="AF892" s="371"/>
    </row>
    <row r="893" spans="1:32" hidden="1" x14ac:dyDescent="0.2">
      <c r="A893" s="14" t="str">
        <f>+IF(AB893&lt;&gt;0,"X","")</f>
        <v/>
      </c>
      <c r="B893" s="69" t="s">
        <v>446</v>
      </c>
      <c r="C893" s="15"/>
      <c r="D893" s="242"/>
      <c r="E893" s="407"/>
      <c r="F893" s="21"/>
      <c r="G893" s="85"/>
      <c r="H893" s="15" t="s">
        <v>68</v>
      </c>
      <c r="I893" s="381"/>
      <c r="J893" s="381"/>
      <c r="K893" s="379"/>
      <c r="L893" s="381"/>
      <c r="M893" s="381"/>
      <c r="N893" s="381"/>
      <c r="O893" s="381"/>
      <c r="P893" s="381"/>
      <c r="Q893" s="381"/>
      <c r="R893" s="381"/>
      <c r="S893" s="18">
        <v>1</v>
      </c>
      <c r="T893" s="19" t="s">
        <v>491</v>
      </c>
      <c r="U893" s="11"/>
      <c r="V893" s="11"/>
      <c r="W893" s="223">
        <f>SUM(I893:R893)</f>
        <v>0</v>
      </c>
      <c r="X893" s="110">
        <f t="shared" si="352"/>
        <v>0</v>
      </c>
      <c r="Y893" s="110">
        <f t="shared" si="353"/>
        <v>0</v>
      </c>
      <c r="Z893" s="110">
        <f t="shared" si="354"/>
        <v>0</v>
      </c>
      <c r="AA893" s="110">
        <f>IF(H893="E",S893*W893,0)</f>
        <v>0</v>
      </c>
      <c r="AB893" s="110">
        <f t="shared" ref="AB893" si="385">SUM(X893:AA893)</f>
        <v>0</v>
      </c>
      <c r="AC893" s="371" t="s">
        <v>167</v>
      </c>
      <c r="AD893" s="371" t="s">
        <v>193</v>
      </c>
      <c r="AE893" s="371"/>
      <c r="AF893" s="371"/>
    </row>
    <row r="894" spans="1:32" hidden="1" x14ac:dyDescent="0.2">
      <c r="A894" s="14" t="str">
        <f>+IF(AB894&lt;&gt;0,"X","")</f>
        <v/>
      </c>
      <c r="B894" s="69" t="s">
        <v>447</v>
      </c>
      <c r="C894" s="15"/>
      <c r="D894" s="242"/>
      <c r="E894" s="407"/>
      <c r="F894" s="21"/>
      <c r="G894" s="85"/>
      <c r="H894" s="15" t="s">
        <v>67</v>
      </c>
      <c r="I894" s="381"/>
      <c r="J894" s="381"/>
      <c r="K894" s="379"/>
      <c r="L894" s="381"/>
      <c r="M894" s="381"/>
      <c r="N894" s="381"/>
      <c r="O894" s="381"/>
      <c r="P894" s="381"/>
      <c r="Q894" s="381"/>
      <c r="R894" s="381"/>
      <c r="S894" s="18">
        <v>1</v>
      </c>
      <c r="T894" s="19" t="s">
        <v>491</v>
      </c>
      <c r="U894" s="11"/>
      <c r="V894" s="11"/>
      <c r="W894" s="223">
        <f>SUM(I894:R894)</f>
        <v>0</v>
      </c>
      <c r="X894" s="110">
        <f t="shared" si="352"/>
        <v>0</v>
      </c>
      <c r="Y894" s="110">
        <f t="shared" si="353"/>
        <v>0</v>
      </c>
      <c r="Z894" s="110">
        <f t="shared" si="354"/>
        <v>0</v>
      </c>
      <c r="AA894" s="110">
        <f>IF(H894="E",S894*W894,0)</f>
        <v>0</v>
      </c>
      <c r="AB894" s="110">
        <f t="shared" si="355"/>
        <v>0</v>
      </c>
      <c r="AC894" s="371" t="s">
        <v>167</v>
      </c>
      <c r="AD894" s="371" t="s">
        <v>193</v>
      </c>
      <c r="AE894" s="371"/>
      <c r="AF894" s="371"/>
    </row>
    <row r="895" spans="1:32" ht="13.5" hidden="1" thickBot="1" x14ac:dyDescent="0.25">
      <c r="A895" s="197" t="str">
        <f>IF(SUM(AB896:AB903)&lt;&gt;0,"X","")</f>
        <v/>
      </c>
      <c r="B895" s="198" t="s">
        <v>448</v>
      </c>
      <c r="C895" s="200" t="s">
        <v>13</v>
      </c>
      <c r="D895" s="239"/>
      <c r="E895" s="199"/>
      <c r="F895" s="199"/>
      <c r="G895" s="199"/>
      <c r="H895" s="199"/>
      <c r="I895" s="199"/>
      <c r="J895" s="199"/>
      <c r="K895" s="199"/>
      <c r="L895" s="199"/>
      <c r="M895" s="199"/>
      <c r="N895" s="199"/>
      <c r="O895" s="199"/>
      <c r="P895" s="199"/>
      <c r="Q895" s="199"/>
      <c r="R895" s="199"/>
      <c r="S895" s="199"/>
      <c r="T895" s="200"/>
      <c r="U895" s="201"/>
      <c r="V895" s="202"/>
      <c r="W895" s="203"/>
      <c r="X895" s="204">
        <f t="shared" si="352"/>
        <v>0</v>
      </c>
      <c r="Y895" s="204">
        <f t="shared" si="353"/>
        <v>0</v>
      </c>
      <c r="Z895" s="204">
        <f t="shared" si="354"/>
        <v>0</v>
      </c>
      <c r="AA895" s="204">
        <f>IF(H895="E",G895*S895*W895,0)</f>
        <v>0</v>
      </c>
      <c r="AB895" s="205">
        <f t="shared" ref="AB895:AB899" si="386">SUM(X895:AA895)</f>
        <v>0</v>
      </c>
      <c r="AC895" s="369"/>
      <c r="AD895" s="369"/>
      <c r="AE895" s="369" t="s">
        <v>13</v>
      </c>
      <c r="AF895" s="369"/>
    </row>
    <row r="896" spans="1:32" hidden="1" x14ac:dyDescent="0.2">
      <c r="A896" s="197" t="str">
        <f t="shared" ref="A896:A901" si="387">+IF(AB896&lt;&gt;0,"X","")</f>
        <v/>
      </c>
      <c r="B896" s="70" t="s">
        <v>449</v>
      </c>
      <c r="C896" s="15"/>
      <c r="D896" s="242"/>
      <c r="E896" s="407"/>
      <c r="F896" s="158"/>
      <c r="G896" s="85" t="s">
        <v>594</v>
      </c>
      <c r="H896" s="28" t="s">
        <v>65</v>
      </c>
      <c r="I896" s="409"/>
      <c r="J896" s="379"/>
      <c r="K896" s="379"/>
      <c r="L896" s="379"/>
      <c r="M896" s="379"/>
      <c r="N896" s="379"/>
      <c r="O896" s="379"/>
      <c r="P896" s="379"/>
      <c r="Q896" s="379"/>
      <c r="R896" s="379"/>
      <c r="S896" s="19">
        <v>1</v>
      </c>
      <c r="T896" s="19" t="s">
        <v>491</v>
      </c>
      <c r="U896" s="11"/>
      <c r="V896" s="11"/>
      <c r="W896" s="120">
        <f>SUM(I896:R896)</f>
        <v>0</v>
      </c>
      <c r="X896" s="109">
        <f t="shared" si="352"/>
        <v>0</v>
      </c>
      <c r="Y896" s="109">
        <f t="shared" si="353"/>
        <v>0</v>
      </c>
      <c r="Z896" s="109">
        <f t="shared" si="354"/>
        <v>0</v>
      </c>
      <c r="AA896" s="109">
        <f>IF(H896="E",S896*W896,0)</f>
        <v>0</v>
      </c>
      <c r="AB896" s="109">
        <f t="shared" si="386"/>
        <v>0</v>
      </c>
      <c r="AC896" s="386" t="s">
        <v>165</v>
      </c>
      <c r="AD896" s="386" t="s">
        <v>705</v>
      </c>
      <c r="AE896" s="383" t="s">
        <v>13</v>
      </c>
      <c r="AF896" s="386"/>
    </row>
    <row r="897" spans="1:32" hidden="1" x14ac:dyDescent="0.2">
      <c r="A897" s="197" t="str">
        <f t="shared" si="387"/>
        <v/>
      </c>
      <c r="B897" s="69" t="s">
        <v>450</v>
      </c>
      <c r="C897" s="15"/>
      <c r="D897" s="242"/>
      <c r="E897" s="407"/>
      <c r="F897" s="158"/>
      <c r="G897" s="85"/>
      <c r="H897" s="15" t="s">
        <v>67</v>
      </c>
      <c r="I897" s="381"/>
      <c r="J897" s="381"/>
      <c r="K897" s="379"/>
      <c r="L897" s="381"/>
      <c r="M897" s="381"/>
      <c r="N897" s="381"/>
      <c r="O897" s="381"/>
      <c r="P897" s="381"/>
      <c r="Q897" s="381"/>
      <c r="R897" s="381"/>
      <c r="S897" s="7">
        <v>1</v>
      </c>
      <c r="T897" s="19" t="s">
        <v>491</v>
      </c>
      <c r="U897" s="11"/>
      <c r="V897" s="11"/>
      <c r="W897" s="37">
        <f>SUM(I897:R897)</f>
        <v>0</v>
      </c>
      <c r="X897" s="110">
        <f t="shared" si="352"/>
        <v>0</v>
      </c>
      <c r="Y897" s="110">
        <f t="shared" si="353"/>
        <v>0</v>
      </c>
      <c r="Z897" s="110">
        <f t="shared" si="354"/>
        <v>0</v>
      </c>
      <c r="AA897" s="110">
        <f>IF(H897="E",S897*W897,0)</f>
        <v>0</v>
      </c>
      <c r="AB897" s="110">
        <f t="shared" si="386"/>
        <v>0</v>
      </c>
      <c r="AC897" s="371" t="s">
        <v>165</v>
      </c>
      <c r="AD897" s="371"/>
      <c r="AE897" s="371"/>
      <c r="AF897" s="371"/>
    </row>
    <row r="898" spans="1:32" hidden="1" x14ac:dyDescent="0.2">
      <c r="A898" s="197" t="str">
        <f t="shared" si="387"/>
        <v/>
      </c>
      <c r="B898" s="69" t="s">
        <v>451</v>
      </c>
      <c r="C898" s="15"/>
      <c r="D898" s="242"/>
      <c r="E898" s="407"/>
      <c r="F898" s="158"/>
      <c r="G898" s="85"/>
      <c r="H898" s="15" t="s">
        <v>66</v>
      </c>
      <c r="I898" s="381"/>
      <c r="J898" s="381"/>
      <c r="K898" s="379"/>
      <c r="L898" s="381"/>
      <c r="M898" s="381"/>
      <c r="N898" s="381"/>
      <c r="O898" s="381"/>
      <c r="P898" s="381"/>
      <c r="Q898" s="381"/>
      <c r="R898" s="381"/>
      <c r="S898" s="88">
        <v>1</v>
      </c>
      <c r="T898" s="19" t="s">
        <v>491</v>
      </c>
      <c r="U898" s="11"/>
      <c r="V898" s="46"/>
      <c r="W898" s="223">
        <f>SUM(I898:R898)</f>
        <v>0</v>
      </c>
      <c r="X898" s="110">
        <f t="shared" si="352"/>
        <v>0</v>
      </c>
      <c r="Y898" s="110">
        <f t="shared" si="353"/>
        <v>0</v>
      </c>
      <c r="Z898" s="110">
        <f t="shared" si="354"/>
        <v>0</v>
      </c>
      <c r="AA898" s="110">
        <f>IF(H898="E",S898*W898,0)</f>
        <v>0</v>
      </c>
      <c r="AB898" s="110">
        <f t="shared" si="386"/>
        <v>0</v>
      </c>
      <c r="AC898" s="371" t="s">
        <v>165</v>
      </c>
      <c r="AD898" s="371"/>
      <c r="AE898" s="371" t="s">
        <v>143</v>
      </c>
      <c r="AF898" s="371"/>
    </row>
    <row r="899" spans="1:32" hidden="1" x14ac:dyDescent="0.2">
      <c r="A899" s="197" t="str">
        <f t="shared" si="387"/>
        <v/>
      </c>
      <c r="B899" s="69" t="s">
        <v>452</v>
      </c>
      <c r="C899" s="350"/>
      <c r="D899" s="243"/>
      <c r="E899" s="407"/>
      <c r="F899" s="26">
        <v>1</v>
      </c>
      <c r="G899" s="85" t="s">
        <v>594</v>
      </c>
      <c r="H899" s="384" t="s">
        <v>65</v>
      </c>
      <c r="I899" s="381"/>
      <c r="J899" s="379"/>
      <c r="K899" s="379"/>
      <c r="L899" s="379"/>
      <c r="M899" s="379"/>
      <c r="N899" s="379"/>
      <c r="O899" s="379"/>
      <c r="P899" s="379"/>
      <c r="Q899" s="379"/>
      <c r="R899" s="379"/>
      <c r="S899" s="19">
        <v>1</v>
      </c>
      <c r="T899" s="19" t="s">
        <v>491</v>
      </c>
      <c r="U899" s="11"/>
      <c r="V899" s="11"/>
      <c r="W899" s="120">
        <f>SUM(I899:R899)</f>
        <v>0</v>
      </c>
      <c r="X899" s="109">
        <f t="shared" si="352"/>
        <v>0</v>
      </c>
      <c r="Y899" s="110">
        <f t="shared" si="353"/>
        <v>0</v>
      </c>
      <c r="Z899" s="109">
        <f t="shared" si="354"/>
        <v>0</v>
      </c>
      <c r="AA899" s="109">
        <f>IF(H899="E",S899*W899,0)</f>
        <v>0</v>
      </c>
      <c r="AB899" s="109">
        <f t="shared" si="386"/>
        <v>0</v>
      </c>
      <c r="AC899" s="385" t="s">
        <v>164</v>
      </c>
      <c r="AD899" s="386" t="s">
        <v>705</v>
      </c>
      <c r="AE899" s="383" t="s">
        <v>13</v>
      </c>
      <c r="AF899" s="385"/>
    </row>
    <row r="900" spans="1:32" hidden="1" x14ac:dyDescent="0.2">
      <c r="A900" s="197" t="str">
        <f t="shared" ref="A900" si="388">+IF(AB900&lt;&gt;0,"X","")</f>
        <v/>
      </c>
      <c r="B900" s="69" t="s">
        <v>453</v>
      </c>
      <c r="C900" s="15"/>
      <c r="D900" s="242"/>
      <c r="E900" s="407"/>
      <c r="F900" s="158"/>
      <c r="G900" s="85"/>
      <c r="H900" s="15" t="s">
        <v>66</v>
      </c>
      <c r="I900" s="381"/>
      <c r="J900" s="381"/>
      <c r="K900" s="379"/>
      <c r="L900" s="381"/>
      <c r="M900" s="381"/>
      <c r="N900" s="381"/>
      <c r="O900" s="381"/>
      <c r="P900" s="381"/>
      <c r="Q900" s="381"/>
      <c r="R900" s="381"/>
      <c r="S900" s="88">
        <v>1</v>
      </c>
      <c r="T900" s="19" t="s">
        <v>491</v>
      </c>
      <c r="U900" s="11"/>
      <c r="V900" s="46"/>
      <c r="W900" s="223">
        <f>SUM(I900:R900)</f>
        <v>0</v>
      </c>
      <c r="X900" s="110">
        <f t="shared" si="352"/>
        <v>0</v>
      </c>
      <c r="Y900" s="110">
        <f t="shared" si="353"/>
        <v>0</v>
      </c>
      <c r="Z900" s="110">
        <f t="shared" si="354"/>
        <v>0</v>
      </c>
      <c r="AA900" s="110">
        <f>IF(H900="E",S900*W900,0)</f>
        <v>0</v>
      </c>
      <c r="AB900" s="110">
        <f t="shared" ref="AB900" si="389">SUM(X900:AA900)</f>
        <v>0</v>
      </c>
      <c r="AC900" s="371" t="s">
        <v>164</v>
      </c>
      <c r="AD900" s="371"/>
      <c r="AE900" s="371" t="s">
        <v>143</v>
      </c>
      <c r="AF900" s="371"/>
    </row>
    <row r="901" spans="1:32" ht="13.5" hidden="1" thickBot="1" x14ac:dyDescent="0.25">
      <c r="A901" s="197" t="str">
        <f t="shared" si="387"/>
        <v/>
      </c>
      <c r="B901" s="198" t="s">
        <v>454</v>
      </c>
      <c r="C901" s="200" t="s">
        <v>13</v>
      </c>
      <c r="D901" s="239">
        <f>SUM(D856:D900)</f>
        <v>0</v>
      </c>
      <c r="E901" s="199"/>
      <c r="F901" s="199"/>
      <c r="G901" s="199"/>
      <c r="H901" s="199"/>
      <c r="I901" s="199"/>
      <c r="J901" s="199"/>
      <c r="K901" s="199"/>
      <c r="L901" s="199"/>
      <c r="M901" s="199"/>
      <c r="N901" s="199"/>
      <c r="O901" s="199"/>
      <c r="P901" s="199"/>
      <c r="Q901" s="199"/>
      <c r="R901" s="199"/>
      <c r="S901" s="200"/>
      <c r="T901" s="200"/>
      <c r="U901" s="338"/>
      <c r="V901" s="339">
        <f>SUM(V856:V900)</f>
        <v>0</v>
      </c>
      <c r="W901" s="340" t="s">
        <v>13</v>
      </c>
      <c r="X901" s="341">
        <f>SUM(X856:X900)</f>
        <v>0</v>
      </c>
      <c r="Y901" s="341">
        <f>SUM(Y856:Y900)</f>
        <v>0</v>
      </c>
      <c r="Z901" s="341">
        <f>SUM(Z856:Z900)</f>
        <v>0</v>
      </c>
      <c r="AA901" s="341">
        <f>SUM(AA856:AA900)</f>
        <v>0</v>
      </c>
      <c r="AB901" s="341">
        <f>SUM(AB856:AB900)</f>
        <v>0</v>
      </c>
      <c r="AC901" s="201"/>
      <c r="AD901" s="201"/>
      <c r="AE901" s="201"/>
      <c r="AF901" s="201"/>
    </row>
    <row r="902" spans="1:32" x14ac:dyDescent="0.2">
      <c r="A902" s="14" t="s">
        <v>5</v>
      </c>
      <c r="B902" s="196" t="s">
        <v>455</v>
      </c>
      <c r="C902" s="350" t="s">
        <v>746</v>
      </c>
      <c r="D902" s="243"/>
      <c r="H902" s="15" t="s">
        <v>65</v>
      </c>
      <c r="I902" s="390">
        <f t="shared" ref="I902:R902" si="390">SUMIFS(I$856:I$894,$H$856:$H$894,"M")</f>
        <v>0</v>
      </c>
      <c r="J902" s="390">
        <f t="shared" si="390"/>
        <v>0</v>
      </c>
      <c r="K902" s="390">
        <f t="shared" si="390"/>
        <v>0</v>
      </c>
      <c r="L902" s="390">
        <f t="shared" si="390"/>
        <v>0</v>
      </c>
      <c r="M902" s="390">
        <f t="shared" si="390"/>
        <v>0</v>
      </c>
      <c r="N902" s="390">
        <f t="shared" si="390"/>
        <v>0</v>
      </c>
      <c r="O902" s="390">
        <f t="shared" si="390"/>
        <v>0</v>
      </c>
      <c r="P902" s="390">
        <f t="shared" si="390"/>
        <v>0</v>
      </c>
      <c r="Q902" s="390">
        <f t="shared" si="390"/>
        <v>0</v>
      </c>
      <c r="R902" s="390">
        <f t="shared" si="390"/>
        <v>0</v>
      </c>
      <c r="S902" s="177">
        <f>SUM(I902:R902)</f>
        <v>0</v>
      </c>
      <c r="T902" s="19" t="s">
        <v>507</v>
      </c>
      <c r="U902" s="11"/>
      <c r="V902" s="46"/>
      <c r="W902" s="176">
        <f>$W$906</f>
        <v>8.2500000000000004E-2</v>
      </c>
      <c r="X902" s="110">
        <f>IF(H902="L",1*W902,0)</f>
        <v>0</v>
      </c>
      <c r="Y902" s="110">
        <f>IF(H902="M",S902*W902,0)</f>
        <v>0</v>
      </c>
      <c r="Z902" s="110">
        <f>IF(H902="S",S902*W902,0)</f>
        <v>0</v>
      </c>
      <c r="AA902" s="110">
        <f>IF(H902="E",S902*W902,0)</f>
        <v>0</v>
      </c>
      <c r="AB902" s="110">
        <f t="shared" ref="AB902:AB908" si="391">SUM(X902:AA902)</f>
        <v>0</v>
      </c>
      <c r="AC902" s="371" t="s">
        <v>167</v>
      </c>
      <c r="AD902" s="371" t="s">
        <v>193</v>
      </c>
      <c r="AE902" s="383" t="s">
        <v>13</v>
      </c>
      <c r="AF902" s="371"/>
    </row>
    <row r="903" spans="1:32" x14ac:dyDescent="0.2">
      <c r="A903" s="197" t="s">
        <v>5</v>
      </c>
      <c r="B903" s="143" t="s">
        <v>456</v>
      </c>
      <c r="C903" s="15" t="s">
        <v>746</v>
      </c>
      <c r="D903" s="242"/>
      <c r="E903" s="21"/>
      <c r="F903" s="21"/>
      <c r="G903" s="85"/>
      <c r="H903" s="15" t="s">
        <v>65</v>
      </c>
      <c r="I903" s="390">
        <f t="shared" ref="I903:R903" si="392">SUMIFS(I$896:I$900,$H$896:$H$900,"M")</f>
        <v>0</v>
      </c>
      <c r="J903" s="390">
        <f t="shared" si="392"/>
        <v>0</v>
      </c>
      <c r="K903" s="390">
        <f t="shared" si="392"/>
        <v>0</v>
      </c>
      <c r="L903" s="390">
        <f t="shared" si="392"/>
        <v>0</v>
      </c>
      <c r="M903" s="390">
        <f t="shared" si="392"/>
        <v>0</v>
      </c>
      <c r="N903" s="390">
        <f t="shared" si="392"/>
        <v>0</v>
      </c>
      <c r="O903" s="390">
        <f t="shared" si="392"/>
        <v>0</v>
      </c>
      <c r="P903" s="390">
        <f t="shared" si="392"/>
        <v>0</v>
      </c>
      <c r="Q903" s="390">
        <f t="shared" si="392"/>
        <v>0</v>
      </c>
      <c r="R903" s="390">
        <f t="shared" si="392"/>
        <v>0</v>
      </c>
      <c r="S903" s="177">
        <f>SUM(I903:R903)</f>
        <v>0</v>
      </c>
      <c r="T903" s="19" t="s">
        <v>507</v>
      </c>
      <c r="U903" s="11"/>
      <c r="V903" s="46"/>
      <c r="W903" s="176">
        <f>$W$906</f>
        <v>8.2500000000000004E-2</v>
      </c>
      <c r="X903" s="110">
        <f>IF(H903="L",V903*W903,0)</f>
        <v>0</v>
      </c>
      <c r="Y903" s="110">
        <f>IF(H903="M",S903*W903,0)</f>
        <v>0</v>
      </c>
      <c r="Z903" s="110">
        <f>IF(H903="S",S903*W903,0)</f>
        <v>0</v>
      </c>
      <c r="AA903" s="110">
        <f>IF(H903="E",S903*W903,0)</f>
        <v>0</v>
      </c>
      <c r="AB903" s="110">
        <f t="shared" si="391"/>
        <v>0</v>
      </c>
      <c r="AC903" s="371" t="s">
        <v>143</v>
      </c>
      <c r="AD903" s="371" t="s">
        <v>194</v>
      </c>
      <c r="AE903" s="383" t="s">
        <v>13</v>
      </c>
      <c r="AF903" s="371"/>
    </row>
    <row r="904" spans="1:32" x14ac:dyDescent="0.2">
      <c r="A904" s="197" t="s">
        <v>5</v>
      </c>
      <c r="B904" s="69" t="s">
        <v>457</v>
      </c>
      <c r="C904" s="15" t="s">
        <v>747</v>
      </c>
      <c r="D904" s="242"/>
      <c r="E904" s="20"/>
      <c r="F904" s="21"/>
      <c r="G904" s="85" t="s">
        <v>594</v>
      </c>
      <c r="H904" s="15" t="s">
        <v>68</v>
      </c>
      <c r="I904" s="410"/>
      <c r="J904" s="410"/>
      <c r="K904" s="410"/>
      <c r="L904" s="410"/>
      <c r="M904" s="410"/>
      <c r="N904" s="410"/>
      <c r="O904" s="410"/>
      <c r="P904" s="410"/>
      <c r="Q904" s="410"/>
      <c r="R904" s="410"/>
      <c r="S904" s="410"/>
      <c r="T904" s="410"/>
      <c r="U904" s="60"/>
      <c r="V904" s="61"/>
      <c r="W904" s="59">
        <v>8.2500000000000004E-2</v>
      </c>
      <c r="X904" s="110">
        <v>0</v>
      </c>
      <c r="Y904" s="110">
        <v>0</v>
      </c>
      <c r="Z904" s="110">
        <v>0</v>
      </c>
      <c r="AA904" s="144">
        <f>ROUNDUP(W904*(AA848-AA847),5)</f>
        <v>2334.7707100000002</v>
      </c>
      <c r="AB904" s="110">
        <f t="shared" si="391"/>
        <v>2334.7707100000002</v>
      </c>
      <c r="AC904" s="371" t="s">
        <v>163</v>
      </c>
      <c r="AD904" s="371"/>
      <c r="AE904" s="371"/>
      <c r="AF904" s="371"/>
    </row>
    <row r="905" spans="1:32" x14ac:dyDescent="0.2">
      <c r="A905" s="197" t="s">
        <v>5</v>
      </c>
      <c r="B905" s="69" t="s">
        <v>458</v>
      </c>
      <c r="C905" s="15" t="s">
        <v>791</v>
      </c>
      <c r="D905" s="242"/>
      <c r="E905" s="20"/>
      <c r="F905" s="21"/>
      <c r="G905" s="256"/>
      <c r="H905" s="15" t="s">
        <v>68</v>
      </c>
      <c r="I905" s="410"/>
      <c r="J905" s="410"/>
      <c r="K905" s="410"/>
      <c r="L905" s="410"/>
      <c r="M905" s="410"/>
      <c r="N905" s="410"/>
      <c r="O905" s="410"/>
      <c r="P905" s="410"/>
      <c r="Q905" s="410"/>
      <c r="R905" s="410"/>
      <c r="S905" s="410"/>
      <c r="T905" s="410"/>
      <c r="U905" s="60"/>
      <c r="V905" s="61"/>
      <c r="W905" s="59">
        <f>$W$904</f>
        <v>8.2500000000000004E-2</v>
      </c>
      <c r="X905" s="110">
        <v>0</v>
      </c>
      <c r="Y905" s="144">
        <v>0</v>
      </c>
      <c r="Z905" s="110">
        <f>ROUNDUP(W905*(Z644),0)</f>
        <v>0</v>
      </c>
      <c r="AA905" s="110">
        <v>0</v>
      </c>
      <c r="AB905" s="110">
        <f t="shared" si="391"/>
        <v>0</v>
      </c>
      <c r="AC905" s="371" t="s">
        <v>163</v>
      </c>
      <c r="AD905" s="371" t="s">
        <v>195</v>
      </c>
      <c r="AE905" s="371"/>
      <c r="AF905" s="371"/>
    </row>
    <row r="906" spans="1:32" x14ac:dyDescent="0.2">
      <c r="A906" s="197" t="s">
        <v>5</v>
      </c>
      <c r="B906" s="143" t="s">
        <v>459</v>
      </c>
      <c r="C906" s="15" t="s">
        <v>746</v>
      </c>
      <c r="D906" s="242"/>
      <c r="E906" s="21"/>
      <c r="F906" s="21"/>
      <c r="G906" s="85"/>
      <c r="H906" s="15" t="s">
        <v>68</v>
      </c>
      <c r="I906" s="410"/>
      <c r="J906" s="410"/>
      <c r="K906" s="410"/>
      <c r="L906" s="410"/>
      <c r="M906" s="410"/>
      <c r="N906" s="410"/>
      <c r="O906" s="410"/>
      <c r="P906" s="410"/>
      <c r="Q906" s="410"/>
      <c r="R906" s="410"/>
      <c r="S906" s="410"/>
      <c r="T906" s="410"/>
      <c r="U906" s="60"/>
      <c r="V906" s="61"/>
      <c r="W906" s="59">
        <v>8.2500000000000004E-2</v>
      </c>
      <c r="X906" s="110">
        <v>0</v>
      </c>
      <c r="Y906" s="144">
        <f>W906*(Y848-Y847)</f>
        <v>383.32799999999997</v>
      </c>
      <c r="Z906" s="110">
        <f>F906*W906*(Z891+Z848-Z847-Z644)</f>
        <v>0</v>
      </c>
      <c r="AA906" s="110">
        <v>0</v>
      </c>
      <c r="AB906" s="110">
        <f t="shared" si="391"/>
        <v>383.32799999999997</v>
      </c>
      <c r="AC906" s="371" t="s">
        <v>163</v>
      </c>
      <c r="AD906" s="371" t="s">
        <v>196</v>
      </c>
      <c r="AE906" s="371"/>
      <c r="AF906" s="371"/>
    </row>
    <row r="907" spans="1:32" ht="13.5" thickBot="1" x14ac:dyDescent="0.25">
      <c r="A907" s="197" t="s">
        <v>5</v>
      </c>
      <c r="B907" s="143" t="s">
        <v>460</v>
      </c>
      <c r="C907" s="15" t="s">
        <v>745</v>
      </c>
      <c r="D907" s="242"/>
      <c r="E907" s="21"/>
      <c r="F907" s="21"/>
      <c r="G907" s="411"/>
      <c r="H907" s="15" t="s">
        <v>68</v>
      </c>
      <c r="I907" s="410"/>
      <c r="J907" s="410"/>
      <c r="K907" s="410"/>
      <c r="L907" s="410"/>
      <c r="M907" s="410"/>
      <c r="N907" s="410"/>
      <c r="O907" s="410"/>
      <c r="P907" s="410"/>
      <c r="Q907" s="410"/>
      <c r="R907" s="410"/>
      <c r="S907" s="410"/>
      <c r="T907" s="410"/>
      <c r="U907" s="60"/>
      <c r="V907" s="61"/>
      <c r="W907" s="59">
        <v>0</v>
      </c>
      <c r="X907" s="110">
        <f>$W$907*SUM(X853,X901)</f>
        <v>0</v>
      </c>
      <c r="Y907" s="144">
        <f>$W$907*SUM(Y853,Y901)</f>
        <v>0</v>
      </c>
      <c r="Z907" s="144">
        <f>$W$907*SUM(Z853,Z901)</f>
        <v>0</v>
      </c>
      <c r="AA907" s="110">
        <f>$W$907*SUM(AA853,AA901)</f>
        <v>0</v>
      </c>
      <c r="AB907" s="110">
        <f t="shared" si="391"/>
        <v>0</v>
      </c>
      <c r="AC907" s="371" t="s">
        <v>163</v>
      </c>
      <c r="AD907" s="371" t="s">
        <v>197</v>
      </c>
      <c r="AE907" s="371"/>
      <c r="AF907" s="371"/>
    </row>
    <row r="908" spans="1:32" ht="13.5" thickBot="1" x14ac:dyDescent="0.25">
      <c r="A908" s="197" t="s">
        <v>5</v>
      </c>
      <c r="B908" s="198" t="s">
        <v>461</v>
      </c>
      <c r="C908" s="200" t="s">
        <v>13</v>
      </c>
      <c r="D908" s="239">
        <f>SUM(D853,D901:D907)</f>
        <v>0</v>
      </c>
      <c r="E908" s="199"/>
      <c r="F908" s="199"/>
      <c r="G908" s="199"/>
      <c r="H908" s="199"/>
      <c r="I908" s="199"/>
      <c r="J908" s="199"/>
      <c r="K908" s="199"/>
      <c r="L908" s="199"/>
      <c r="M908" s="199"/>
      <c r="N908" s="199"/>
      <c r="O908" s="199"/>
      <c r="P908" s="199"/>
      <c r="Q908" s="199"/>
      <c r="R908" s="199"/>
      <c r="S908" s="199"/>
      <c r="T908" s="199"/>
      <c r="U908" s="342"/>
      <c r="V908" s="343">
        <f>SUM(V853,V901:V907)</f>
        <v>3966.9749999999999</v>
      </c>
      <c r="W908" s="342" t="s">
        <v>11</v>
      </c>
      <c r="X908" s="344">
        <f>SUM(X853,X901:X907)</f>
        <v>212542.55989129326</v>
      </c>
      <c r="Y908" s="344">
        <f>SUM(Y853,Y901:Y907)</f>
        <v>5762.1167999999998</v>
      </c>
      <c r="Z908" s="344">
        <f>SUM(Z853,Z901:Z907)</f>
        <v>0</v>
      </c>
      <c r="AA908" s="344">
        <f>SUM(AA853,AA901:AA907)</f>
        <v>35095.848773874997</v>
      </c>
      <c r="AB908" s="345">
        <f t="shared" si="391"/>
        <v>253400.52546516823</v>
      </c>
      <c r="AC908" s="369"/>
      <c r="AD908" s="369"/>
      <c r="AE908" s="369"/>
      <c r="AF908" s="369"/>
    </row>
    <row r="909" spans="1:32" ht="13.5" hidden="1" thickBot="1" x14ac:dyDescent="0.25">
      <c r="A909" s="197" t="str">
        <f>A910</f>
        <v/>
      </c>
      <c r="B909" s="412" t="s">
        <v>204</v>
      </c>
      <c r="C909" s="418"/>
      <c r="D909" s="131"/>
      <c r="E909" s="131"/>
      <c r="F909" s="131"/>
      <c r="G909" s="225"/>
      <c r="H909" s="225"/>
      <c r="I909" s="131"/>
      <c r="J909" s="131"/>
      <c r="K909" s="131"/>
      <c r="L909" s="131"/>
      <c r="M909" s="131"/>
      <c r="N909" s="131"/>
      <c r="O909" s="131"/>
      <c r="P909" s="131"/>
      <c r="Q909" s="131"/>
      <c r="R909" s="131"/>
      <c r="S909" s="131"/>
      <c r="T909" s="131"/>
      <c r="U909" s="131"/>
      <c r="V909" s="131"/>
      <c r="W909" s="1"/>
      <c r="X909" s="132"/>
      <c r="Y909" s="131"/>
      <c r="Z909" s="131"/>
      <c r="AA909" s="189" t="s">
        <v>139</v>
      </c>
      <c r="AB909" s="104">
        <f>AB908-ROUNDUP(SUM(AB853,AB901:AB907),0)</f>
        <v>-0.47453483176650479</v>
      </c>
      <c r="AC909" s="131"/>
      <c r="AD909" s="131"/>
      <c r="AE909" s="131"/>
      <c r="AF909" s="131"/>
    </row>
    <row r="910" spans="1:32" ht="13.5" hidden="1" thickBot="1" x14ac:dyDescent="0.25">
      <c r="A910" s="14" t="str">
        <f>IF(SUM(AB911:AB915)&lt;&gt;0,"X","")</f>
        <v/>
      </c>
      <c r="B910" s="198" t="s">
        <v>462</v>
      </c>
      <c r="C910" s="200" t="s">
        <v>13</v>
      </c>
      <c r="D910" s="239"/>
      <c r="E910" s="199"/>
      <c r="F910" s="199"/>
      <c r="G910" s="199"/>
      <c r="H910" s="199"/>
      <c r="I910" s="199"/>
      <c r="J910" s="199"/>
      <c r="K910" s="199"/>
      <c r="L910" s="199"/>
      <c r="M910" s="199"/>
      <c r="N910" s="199"/>
      <c r="O910" s="199"/>
      <c r="P910" s="199"/>
      <c r="Q910" s="199"/>
      <c r="R910" s="199"/>
      <c r="S910" s="199"/>
      <c r="T910" s="200"/>
      <c r="U910" s="201"/>
      <c r="V910" s="202"/>
      <c r="W910" s="203"/>
      <c r="X910" s="204"/>
      <c r="Y910" s="204"/>
      <c r="Z910" s="204"/>
      <c r="AA910" s="204"/>
      <c r="AB910" s="205"/>
      <c r="AC910" s="369"/>
      <c r="AD910" s="369"/>
      <c r="AE910" s="369"/>
      <c r="AF910" s="369"/>
    </row>
    <row r="911" spans="1:32" ht="13.5" hidden="1" thickBot="1" x14ac:dyDescent="0.25">
      <c r="A911" s="14" t="str">
        <f>+IF(AB911&lt;&gt;0,"X","")</f>
        <v/>
      </c>
      <c r="B911" s="69" t="s">
        <v>536</v>
      </c>
      <c r="C911" s="52" t="s">
        <v>741</v>
      </c>
      <c r="D911" s="242"/>
      <c r="E911" s="15" t="s">
        <v>69</v>
      </c>
      <c r="F911" s="21"/>
      <c r="G911" s="255"/>
      <c r="H911" s="15" t="s">
        <v>66</v>
      </c>
      <c r="I911" s="255"/>
      <c r="J911" s="255"/>
      <c r="K911" s="255"/>
      <c r="L911" s="255"/>
      <c r="M911" s="255"/>
      <c r="N911" s="255"/>
      <c r="O911" s="255"/>
      <c r="P911" s="255"/>
      <c r="Q911" s="255"/>
      <c r="R911" s="255"/>
      <c r="S911" s="122">
        <f>IF(E911="Y",-1.9%,0)</f>
        <v>0</v>
      </c>
      <c r="T911" s="7" t="s">
        <v>19</v>
      </c>
      <c r="U911" s="308" t="s">
        <v>13</v>
      </c>
      <c r="V911" s="92" t="s">
        <v>13</v>
      </c>
      <c r="W911" s="110">
        <f>SUM(X3:X785,X817:X822)</f>
        <v>131027.26137779497</v>
      </c>
      <c r="X911" s="110">
        <f>IF(H911="L",S911*W911,0)</f>
        <v>0</v>
      </c>
      <c r="Y911" s="110">
        <f>IF(H911="M",S911*W911,0)</f>
        <v>0</v>
      </c>
      <c r="Z911" s="110">
        <f>IF(H911="S",S911*W911,0)</f>
        <v>0</v>
      </c>
      <c r="AA911" s="110">
        <f>IF(H911="E",G911*S911*W911,0)</f>
        <v>0</v>
      </c>
      <c r="AB911" s="110">
        <f t="shared" ref="AB911:AB916" si="393">SUM(X911:AA911)</f>
        <v>0</v>
      </c>
      <c r="AC911" s="371" t="s">
        <v>163</v>
      </c>
      <c r="AD911" s="371"/>
      <c r="AE911" s="371" t="s">
        <v>149</v>
      </c>
      <c r="AF911" s="371"/>
    </row>
    <row r="912" spans="1:32" ht="13.5" hidden="1" thickBot="1" x14ac:dyDescent="0.25">
      <c r="A912" s="14" t="str">
        <f>+IF(AB912&lt;&gt;0,"X","")</f>
        <v/>
      </c>
      <c r="B912" s="69" t="s">
        <v>537</v>
      </c>
      <c r="C912" s="52" t="s">
        <v>777</v>
      </c>
      <c r="D912" s="242"/>
      <c r="E912" s="15" t="s">
        <v>69</v>
      </c>
      <c r="F912" s="21"/>
      <c r="G912" s="255"/>
      <c r="H912" s="15" t="s">
        <v>66</v>
      </c>
      <c r="I912" s="255"/>
      <c r="J912" s="255"/>
      <c r="K912" s="255"/>
      <c r="L912" s="255"/>
      <c r="M912" s="255"/>
      <c r="N912" s="255"/>
      <c r="O912" s="255"/>
      <c r="P912" s="255"/>
      <c r="Q912" s="255"/>
      <c r="R912" s="255"/>
      <c r="S912" s="122">
        <f>IF(E912="Y",-0.2%,0)</f>
        <v>0</v>
      </c>
      <c r="T912" s="7" t="s">
        <v>19</v>
      </c>
      <c r="U912" s="308" t="s">
        <v>13</v>
      </c>
      <c r="V912" s="92" t="s">
        <v>13</v>
      </c>
      <c r="W912" s="110">
        <f>SUM(X789:X813)</f>
        <v>0</v>
      </c>
      <c r="X912" s="110">
        <f>IF(H912="L",S912*W912,0)</f>
        <v>0</v>
      </c>
      <c r="Y912" s="110">
        <f>IF(H912="M",S912*W912,0)</f>
        <v>0</v>
      </c>
      <c r="Z912" s="110">
        <f>IF(H912="S",S912*W912,0)</f>
        <v>0</v>
      </c>
      <c r="AA912" s="110">
        <f>IF(H912="E",G912*S912*W912,0)</f>
        <v>0</v>
      </c>
      <c r="AB912" s="110">
        <f t="shared" si="393"/>
        <v>0</v>
      </c>
      <c r="AC912" s="371" t="s">
        <v>163</v>
      </c>
      <c r="AD912" s="371"/>
      <c r="AE912" s="371" t="s">
        <v>198</v>
      </c>
      <c r="AF912" s="371"/>
    </row>
    <row r="913" spans="1:32" ht="13.5" hidden="1" thickBot="1" x14ac:dyDescent="0.25">
      <c r="A913" s="14" t="str">
        <f>+IF(AB913&lt;&gt;0,"X","")</f>
        <v/>
      </c>
      <c r="B913" s="69" t="s">
        <v>533</v>
      </c>
      <c r="C913" s="52" t="s">
        <v>741</v>
      </c>
      <c r="D913" s="242"/>
      <c r="E913" s="15" t="s">
        <v>69</v>
      </c>
      <c r="F913" s="21"/>
      <c r="G913" s="255"/>
      <c r="H913" s="15" t="s">
        <v>66</v>
      </c>
      <c r="I913" s="255"/>
      <c r="J913" s="255"/>
      <c r="K913" s="255"/>
      <c r="L913" s="255"/>
      <c r="M913" s="255"/>
      <c r="N913" s="255"/>
      <c r="O913" s="255"/>
      <c r="P913" s="255"/>
      <c r="Q913" s="255"/>
      <c r="R913" s="255"/>
      <c r="S913" s="122">
        <f>IF(E913="Y",0.3%,0)</f>
        <v>0</v>
      </c>
      <c r="T913" s="7" t="s">
        <v>19</v>
      </c>
      <c r="U913" s="308" t="s">
        <v>13</v>
      </c>
      <c r="V913" s="92" t="s">
        <v>13</v>
      </c>
      <c r="W913" s="110">
        <f>SUMIFS($X$2:$X$840,$AE$2:$AE$840,"Dir")</f>
        <v>175165.70232844885</v>
      </c>
      <c r="X913" s="110">
        <f>IF(H913="L",S913*W913,0)</f>
        <v>0</v>
      </c>
      <c r="Y913" s="110">
        <f>IF(H913="M",S913*W913,0)</f>
        <v>0</v>
      </c>
      <c r="Z913" s="110">
        <f>IF(H913="S",S913*W913,0)</f>
        <v>0</v>
      </c>
      <c r="AA913" s="110">
        <f>IF(H913="E",G913*S913*W913,0)</f>
        <v>0</v>
      </c>
      <c r="AB913" s="110">
        <f t="shared" si="393"/>
        <v>0</v>
      </c>
      <c r="AC913" s="371" t="s">
        <v>163</v>
      </c>
      <c r="AD913" s="371"/>
      <c r="AE913" s="371" t="s">
        <v>198</v>
      </c>
      <c r="AF913" s="371"/>
    </row>
    <row r="914" spans="1:32" ht="13.5" hidden="1" thickBot="1" x14ac:dyDescent="0.25">
      <c r="A914" s="14" t="str">
        <f>+IF(AB914&lt;&gt;0,"X","")</f>
        <v/>
      </c>
      <c r="B914" s="69" t="s">
        <v>534</v>
      </c>
      <c r="C914" s="52" t="s">
        <v>741</v>
      </c>
      <c r="D914" s="242"/>
      <c r="E914" s="15" t="s">
        <v>69</v>
      </c>
      <c r="F914" s="21"/>
      <c r="G914" s="255"/>
      <c r="H914" s="15" t="s">
        <v>66</v>
      </c>
      <c r="I914" s="255"/>
      <c r="J914" s="255"/>
      <c r="K914" s="255"/>
      <c r="L914" s="255"/>
      <c r="M914" s="255"/>
      <c r="N914" s="255"/>
      <c r="O914" s="255"/>
      <c r="P914" s="255"/>
      <c r="Q914" s="255"/>
      <c r="R914" s="255"/>
      <c r="S914" s="122">
        <f>IF(E914="Y",10%,0)</f>
        <v>0</v>
      </c>
      <c r="T914" s="7" t="s">
        <v>19</v>
      </c>
      <c r="U914" s="308" t="s">
        <v>13</v>
      </c>
      <c r="V914" s="92">
        <f>X914/(18*1.54*1.08)</f>
        <v>0</v>
      </c>
      <c r="W914" s="110">
        <f>SUMIFS($X$2:$X$840,$AE$2:$AE$840,"Dir")</f>
        <v>175165.70232844885</v>
      </c>
      <c r="X914" s="110">
        <f>IF(H914="L",S914*W914,0)</f>
        <v>0</v>
      </c>
      <c r="Y914" s="110">
        <f>IF(H914="M",S914*W914,0)</f>
        <v>0</v>
      </c>
      <c r="Z914" s="110">
        <f>IF(H914="S",S914*W914,0)</f>
        <v>0</v>
      </c>
      <c r="AA914" s="110">
        <f>IF(H914="E",G914*S914*W914,0)</f>
        <v>0</v>
      </c>
      <c r="AB914" s="110">
        <f t="shared" si="393"/>
        <v>0</v>
      </c>
      <c r="AC914" s="371" t="s">
        <v>163</v>
      </c>
      <c r="AD914" s="371"/>
      <c r="AE914" s="371" t="s">
        <v>198</v>
      </c>
      <c r="AF914" s="371"/>
    </row>
    <row r="915" spans="1:32" ht="13.5" hidden="1" thickBot="1" x14ac:dyDescent="0.25">
      <c r="A915" s="14" t="str">
        <f>+IF(AB915&lt;&gt;0,"X","")</f>
        <v/>
      </c>
      <c r="B915" s="69" t="s">
        <v>535</v>
      </c>
      <c r="C915" s="52" t="s">
        <v>741</v>
      </c>
      <c r="D915" s="242"/>
      <c r="E915" s="15" t="s">
        <v>69</v>
      </c>
      <c r="F915" s="21"/>
      <c r="G915" s="255"/>
      <c r="H915" s="15" t="s">
        <v>66</v>
      </c>
      <c r="I915" s="255"/>
      <c r="J915" s="255"/>
      <c r="K915" s="255"/>
      <c r="L915" s="255"/>
      <c r="M915" s="255"/>
      <c r="N915" s="255"/>
      <c r="O915" s="255"/>
      <c r="P915" s="255"/>
      <c r="Q915" s="255"/>
      <c r="R915" s="255"/>
      <c r="S915" s="122">
        <f>IF(E915="Y",0.4%,0)</f>
        <v>0</v>
      </c>
      <c r="T915" s="7" t="s">
        <v>19</v>
      </c>
      <c r="U915" s="308" t="s">
        <v>13</v>
      </c>
      <c r="V915" s="92">
        <f>X915/(40*1.58*1.08)</f>
        <v>0</v>
      </c>
      <c r="W915" s="110">
        <f>SUMIFS($X$2:$X$840,$AE$2:$AE$840,"Dir")</f>
        <v>175165.70232844885</v>
      </c>
      <c r="X915" s="110">
        <f>IF(H915="L",S915*W915,0)</f>
        <v>0</v>
      </c>
      <c r="Y915" s="110">
        <f>IF(H915="M",S915*W915,0)</f>
        <v>0</v>
      </c>
      <c r="Z915" s="110">
        <f>IF(H915="S",S915*W915,0)</f>
        <v>0</v>
      </c>
      <c r="AA915" s="110">
        <f>IF(H915="E",G915*S915*W915,0)</f>
        <v>0</v>
      </c>
      <c r="AB915" s="110">
        <f t="shared" si="393"/>
        <v>0</v>
      </c>
      <c r="AC915" s="371" t="s">
        <v>163</v>
      </c>
      <c r="AD915" s="371"/>
      <c r="AE915" s="371" t="s">
        <v>198</v>
      </c>
      <c r="AF915" s="371"/>
    </row>
    <row r="916" spans="1:32" ht="13.5" thickBot="1" x14ac:dyDescent="0.25">
      <c r="A916" s="14" t="s">
        <v>5</v>
      </c>
      <c r="B916" s="198" t="s">
        <v>639</v>
      </c>
      <c r="C916" s="200" t="s">
        <v>13</v>
      </c>
      <c r="D916" s="239">
        <f>SUM(D908:D915)</f>
        <v>0</v>
      </c>
      <c r="E916" s="199"/>
      <c r="F916" s="199"/>
      <c r="G916" s="199"/>
      <c r="H916" s="199"/>
      <c r="I916" s="199"/>
      <c r="J916" s="199"/>
      <c r="K916" s="199"/>
      <c r="L916" s="199"/>
      <c r="M916" s="199"/>
      <c r="N916" s="199"/>
      <c r="O916" s="199"/>
      <c r="P916" s="199"/>
      <c r="Q916" s="199"/>
      <c r="R916" s="199"/>
      <c r="S916" s="199"/>
      <c r="T916" s="199"/>
      <c r="U916" s="342"/>
      <c r="V916" s="343">
        <f>SUM(V908:V915)</f>
        <v>3966.9749999999999</v>
      </c>
      <c r="W916" s="342" t="s">
        <v>639</v>
      </c>
      <c r="X916" s="344">
        <f>SUM(X908:X915)</f>
        <v>212542.55989129326</v>
      </c>
      <c r="Y916" s="344">
        <f>SUM(Y908:Y915)</f>
        <v>5762.1167999999998</v>
      </c>
      <c r="Z916" s="344">
        <f>SUM(Z908:Z915)</f>
        <v>0</v>
      </c>
      <c r="AA916" s="344">
        <f>SUM(AA908:AA915)</f>
        <v>35095.848773874997</v>
      </c>
      <c r="AB916" s="345">
        <f t="shared" si="393"/>
        <v>253400.52546516823</v>
      </c>
      <c r="AC916" s="346"/>
      <c r="AD916" s="346"/>
      <c r="AE916" s="346"/>
      <c r="AF916" s="346"/>
    </row>
    <row r="917" spans="1:32" x14ac:dyDescent="0.2">
      <c r="A917" s="14" t="s">
        <v>5</v>
      </c>
      <c r="B917" s="131"/>
      <c r="C917" s="324"/>
      <c r="D917" s="131"/>
      <c r="E917" s="131"/>
      <c r="F917" s="131"/>
      <c r="G917" s="225"/>
      <c r="H917" s="225"/>
      <c r="I917" s="131"/>
      <c r="J917" s="131"/>
      <c r="K917" s="131"/>
      <c r="L917" s="131"/>
      <c r="M917" s="131"/>
      <c r="N917" s="131"/>
      <c r="O917" s="131"/>
      <c r="P917" s="131"/>
      <c r="Q917" s="131"/>
      <c r="R917" s="131"/>
      <c r="S917" s="131"/>
    </row>
    <row r="918" spans="1:32" x14ac:dyDescent="0.2">
      <c r="A918" s="14" t="s">
        <v>5</v>
      </c>
      <c r="B918" s="131"/>
      <c r="C918" s="324"/>
      <c r="D918" s="131"/>
      <c r="E918" s="131"/>
      <c r="F918" s="131"/>
      <c r="G918" s="225"/>
      <c r="H918" s="9"/>
      <c r="L918" s="131"/>
      <c r="M918" s="131"/>
      <c r="N918" s="131"/>
      <c r="O918" s="131"/>
      <c r="P918" s="131"/>
      <c r="Q918" s="131"/>
      <c r="R918" s="131"/>
      <c r="S918" s="131"/>
      <c r="T918" s="131"/>
      <c r="U918" s="131"/>
      <c r="V918" s="131"/>
      <c r="W918" s="236" t="s">
        <v>209</v>
      </c>
      <c r="X918" s="132">
        <f>SUMIFS(X3:X845,AE3:AE845,"")</f>
        <v>0</v>
      </c>
      <c r="Y918" s="131"/>
      <c r="Z918" s="131"/>
      <c r="AA918" s="131"/>
      <c r="AB918" s="131"/>
    </row>
    <row r="919" spans="1:32" x14ac:dyDescent="0.2">
      <c r="A919" s="14" t="s">
        <v>5</v>
      </c>
      <c r="B919" s="129" t="s">
        <v>103</v>
      </c>
      <c r="C919" s="419" t="s">
        <v>6</v>
      </c>
      <c r="D919" s="79" t="s">
        <v>77</v>
      </c>
      <c r="H919" s="9"/>
      <c r="L919" s="131"/>
      <c r="M919" s="131"/>
      <c r="N919" s="131"/>
      <c r="O919" s="131"/>
      <c r="P919" s="131"/>
      <c r="Q919" s="131"/>
      <c r="R919" s="131"/>
      <c r="S919" s="131"/>
      <c r="U919" s="131"/>
      <c r="W919" s="1" t="s">
        <v>138</v>
      </c>
    </row>
    <row r="920" spans="1:32" x14ac:dyDescent="0.2">
      <c r="A920" s="14" t="s">
        <v>5</v>
      </c>
      <c r="B920" s="47" t="s">
        <v>516</v>
      </c>
      <c r="C920" s="191">
        <f>SUMIFS($V$2:$V$840,$AE$2:$AE$840,"Dir")</f>
        <v>3966.9749999999999</v>
      </c>
      <c r="D920" s="47"/>
      <c r="H920" s="9"/>
      <c r="L920" s="131"/>
      <c r="M920" s="131"/>
      <c r="N920" s="131"/>
      <c r="O920" s="131"/>
      <c r="P920" s="131"/>
      <c r="Q920" s="131"/>
      <c r="R920" s="131"/>
      <c r="S920" s="131"/>
      <c r="U920" s="131"/>
      <c r="W920" s="1" t="s">
        <v>211</v>
      </c>
      <c r="X920" s="194">
        <f>(SUM(AB784:AB785)*(1+AA846)*(1+AA849)*(1+AA77))</f>
        <v>11698.6837275</v>
      </c>
      <c r="Y920" s="194"/>
      <c r="Z920" s="194"/>
      <c r="AA920" s="194">
        <f>-1*X920</f>
        <v>-11698.6837275</v>
      </c>
      <c r="AB920" s="104"/>
    </row>
    <row r="921" spans="1:32" x14ac:dyDescent="0.2">
      <c r="A921" s="14" t="s">
        <v>5</v>
      </c>
      <c r="B921" s="47" t="s">
        <v>517</v>
      </c>
      <c r="C921" s="191">
        <f>SUMIFS($V$2:$V$840,$AE$2:$AE$840,"Supt")</f>
        <v>0</v>
      </c>
      <c r="D921" s="269">
        <f>IFERROR(C921/C922,0)</f>
        <v>0</v>
      </c>
      <c r="H921" s="9"/>
      <c r="L921" s="131"/>
      <c r="M921" s="413"/>
      <c r="N921" s="413"/>
      <c r="O921" s="131"/>
      <c r="P921" s="131"/>
      <c r="Q921" s="131"/>
      <c r="R921" s="131"/>
      <c r="S921" s="131"/>
      <c r="U921" s="131"/>
      <c r="W921" s="81" t="s">
        <v>145</v>
      </c>
      <c r="X921" s="81" t="s">
        <v>481</v>
      </c>
      <c r="Y921" s="81" t="s">
        <v>133</v>
      </c>
      <c r="Z921" s="81" t="s">
        <v>482</v>
      </c>
      <c r="AA921" s="81" t="s">
        <v>483</v>
      </c>
      <c r="AB921" s="130" t="s">
        <v>9</v>
      </c>
    </row>
    <row r="922" spans="1:32" x14ac:dyDescent="0.2">
      <c r="A922" s="14" t="s">
        <v>5</v>
      </c>
      <c r="B922" s="47" t="s">
        <v>96</v>
      </c>
      <c r="C922" s="40">
        <f>SUM(C920:C921)</f>
        <v>3966.9749999999999</v>
      </c>
      <c r="D922" s="47"/>
      <c r="H922" s="9"/>
      <c r="L922" s="131"/>
      <c r="M922" s="131"/>
      <c r="N922" s="131"/>
      <c r="O922" s="131"/>
      <c r="P922" s="131"/>
      <c r="Q922" s="131"/>
      <c r="R922" s="131"/>
      <c r="S922" s="131"/>
      <c r="U922" s="131"/>
      <c r="W922" s="195" t="s">
        <v>143</v>
      </c>
      <c r="X922" s="194">
        <f>SUM(X896:X900,X903)</f>
        <v>0</v>
      </c>
      <c r="Y922" s="194">
        <f>SUM(Y896:Y900,Y903)</f>
        <v>0</v>
      </c>
      <c r="Z922" s="194">
        <f>SUM(Z896:Z900,Z903)</f>
        <v>0</v>
      </c>
      <c r="AA922" s="194">
        <f>SUM(AA896:AA900,AA903)</f>
        <v>0</v>
      </c>
      <c r="AB922" s="194">
        <f>SUM(X922:AA922)</f>
        <v>0</v>
      </c>
    </row>
    <row r="923" spans="1:32" ht="13.5" thickBot="1" x14ac:dyDescent="0.25">
      <c r="A923" s="14" t="s">
        <v>5</v>
      </c>
      <c r="B923" s="263" t="s">
        <v>619</v>
      </c>
      <c r="C923" s="303">
        <f>SUMIFS($V$2:$V$840,$AE$2:$AE$840,"Indir")</f>
        <v>0</v>
      </c>
      <c r="D923" s="270">
        <f>IFERROR(C923/C924,0)</f>
        <v>0</v>
      </c>
      <c r="H923" s="9"/>
      <c r="L923" s="131"/>
      <c r="M923" s="131"/>
      <c r="N923" s="131"/>
      <c r="O923" s="131"/>
      <c r="P923" s="131"/>
      <c r="Q923" s="131"/>
      <c r="R923" s="131"/>
      <c r="S923" s="131"/>
      <c r="T923" s="131"/>
      <c r="U923" s="131"/>
      <c r="W923" s="195" t="s">
        <v>144</v>
      </c>
      <c r="X923" s="194">
        <f>X924-X922</f>
        <v>224241</v>
      </c>
      <c r="Y923" s="194">
        <f>Y924-Y922</f>
        <v>5762</v>
      </c>
      <c r="Z923" s="194">
        <f>Z924-Z922</f>
        <v>0</v>
      </c>
      <c r="AA923" s="194">
        <f>AA924-AA922</f>
        <v>23397</v>
      </c>
      <c r="AB923" s="194">
        <f>AB924-AB922</f>
        <v>253400</v>
      </c>
    </row>
    <row r="924" spans="1:32" x14ac:dyDescent="0.2">
      <c r="A924" s="14" t="s">
        <v>5</v>
      </c>
      <c r="B924" s="264" t="s">
        <v>518</v>
      </c>
      <c r="C924" s="92">
        <f>SUM(C922:C923)</f>
        <v>3966.9749999999999</v>
      </c>
      <c r="D924" s="36"/>
      <c r="H924" s="9"/>
      <c r="L924" s="131"/>
      <c r="M924" s="131"/>
      <c r="N924" s="131"/>
      <c r="O924" s="131"/>
      <c r="P924" s="131"/>
      <c r="Q924" s="131"/>
      <c r="R924" s="131"/>
      <c r="S924" s="131"/>
      <c r="T924" s="131"/>
      <c r="U924" s="131"/>
      <c r="W924" s="195" t="s">
        <v>9</v>
      </c>
      <c r="X924" s="194">
        <f>ROUND(SUM(X908:X915,X920),0)</f>
        <v>224241</v>
      </c>
      <c r="Y924" s="194">
        <f>ROUND(SUM(Y908:Y915,Y920),0)</f>
        <v>5762</v>
      </c>
      <c r="Z924" s="194">
        <f>ROUND(SUM(Z908:Z915,Z920),0)</f>
        <v>0</v>
      </c>
      <c r="AA924" s="194">
        <f>ROUND(SUM(AA908:AA915,AA920),0)</f>
        <v>23397</v>
      </c>
      <c r="AB924" s="194">
        <f>SUM(X924:AA924)</f>
        <v>253400</v>
      </c>
    </row>
    <row r="925" spans="1:32" x14ac:dyDescent="0.2">
      <c r="A925" s="14" t="s">
        <v>5</v>
      </c>
      <c r="H925" s="9"/>
      <c r="L925" s="131"/>
      <c r="M925" s="131"/>
      <c r="N925" s="131"/>
      <c r="O925" s="131"/>
      <c r="P925" s="131"/>
      <c r="Q925" s="131"/>
      <c r="R925" s="131"/>
      <c r="S925" s="131"/>
      <c r="T925" s="131"/>
      <c r="U925" s="131"/>
    </row>
    <row r="926" spans="1:32" x14ac:dyDescent="0.2">
      <c r="A926" s="14" t="s">
        <v>5</v>
      </c>
      <c r="B926" s="47" t="s">
        <v>482</v>
      </c>
      <c r="C926" s="191">
        <f>SUMIFS($D$3:$D$915,$AE$3:$AE$915,B926)</f>
        <v>0</v>
      </c>
      <c r="D926" s="271" t="s">
        <v>203</v>
      </c>
      <c r="H926" s="9"/>
      <c r="L926" s="131"/>
      <c r="M926" s="131"/>
      <c r="N926" s="131"/>
      <c r="O926" s="131"/>
      <c r="P926" s="131"/>
      <c r="Q926" s="131"/>
      <c r="R926" s="131"/>
      <c r="S926" s="131"/>
      <c r="T926" s="131"/>
      <c r="U926" s="131"/>
    </row>
    <row r="927" spans="1:32" x14ac:dyDescent="0.2">
      <c r="A927" s="14" t="s">
        <v>5</v>
      </c>
      <c r="B927" s="47" t="s">
        <v>191</v>
      </c>
      <c r="C927" s="191">
        <f>SUMIFS($D$3:$D$915,$AE$3:$AE$915,B927)</f>
        <v>0</v>
      </c>
      <c r="D927" s="271" t="s">
        <v>200</v>
      </c>
      <c r="H927" s="9"/>
      <c r="L927" s="131"/>
      <c r="M927" s="131"/>
      <c r="N927" s="131"/>
      <c r="O927" s="131"/>
      <c r="P927" s="131"/>
      <c r="Q927" s="131"/>
      <c r="R927" s="131"/>
      <c r="S927" s="131"/>
      <c r="T927" s="131"/>
      <c r="U927" s="1" t="s">
        <v>137</v>
      </c>
      <c r="X927" s="178" t="s">
        <v>104</v>
      </c>
      <c r="Y927" s="178" t="s">
        <v>105</v>
      </c>
      <c r="Z927" s="178" t="s">
        <v>106</v>
      </c>
      <c r="AA927" s="178" t="s">
        <v>107</v>
      </c>
      <c r="AB927" s="178" t="s">
        <v>16</v>
      </c>
    </row>
    <row r="928" spans="1:32" x14ac:dyDescent="0.2">
      <c r="A928" s="14" t="s">
        <v>5</v>
      </c>
      <c r="B928" s="47" t="s">
        <v>154</v>
      </c>
      <c r="C928" s="40">
        <f>SUMIFS($D$3:$D$915,$AE$3:$AE$915,B928)</f>
        <v>0</v>
      </c>
      <c r="D928" s="271" t="s">
        <v>201</v>
      </c>
      <c r="H928" s="9"/>
      <c r="L928" s="131"/>
      <c r="M928" s="131"/>
      <c r="N928" s="131"/>
      <c r="O928" s="131"/>
      <c r="P928" s="131"/>
      <c r="Q928" s="131"/>
      <c r="R928" s="131"/>
      <c r="S928" s="131"/>
      <c r="T928" s="131"/>
      <c r="U928" s="131"/>
      <c r="V928" s="192" t="s">
        <v>135</v>
      </c>
      <c r="W928" s="187">
        <f>SUM(AB896:AB898)+Y896*(W903)</f>
        <v>0</v>
      </c>
      <c r="X928" s="363"/>
      <c r="Y928" s="9" t="s">
        <v>108</v>
      </c>
      <c r="Z928" s="364"/>
      <c r="AA928" s="365">
        <v>0</v>
      </c>
      <c r="AB928" s="366">
        <v>0</v>
      </c>
    </row>
    <row r="929" spans="1:28" ht="13.5" thickBot="1" x14ac:dyDescent="0.25">
      <c r="A929" s="14" t="s">
        <v>5</v>
      </c>
      <c r="B929" s="263" t="s">
        <v>61</v>
      </c>
      <c r="C929" s="303">
        <f>SUMIFS($D$3:$D$915,$AE$3:$AE$915,B929)</f>
        <v>0</v>
      </c>
      <c r="D929" s="271" t="s">
        <v>202</v>
      </c>
      <c r="H929" s="9"/>
      <c r="L929" s="131"/>
      <c r="M929" s="131"/>
      <c r="N929" s="131"/>
      <c r="O929" s="131"/>
      <c r="P929" s="131"/>
      <c r="Q929" s="131"/>
      <c r="R929" s="131"/>
      <c r="S929" s="131"/>
      <c r="T929" s="131"/>
      <c r="V929" s="192" t="s">
        <v>146</v>
      </c>
      <c r="W929" s="187">
        <f>SUM(I640:R642)+SUM(AB899:AB900)+Y899*(W903)</f>
        <v>0</v>
      </c>
      <c r="X929" s="363"/>
      <c r="Y929" s="9" t="s">
        <v>109</v>
      </c>
      <c r="Z929" s="364"/>
      <c r="AA929" s="364">
        <f>IF(Z929=0,0,Z929-Z928)</f>
        <v>0</v>
      </c>
      <c r="AB929" s="367">
        <f>IF(Z929=0,0,Z929/Z928-1)</f>
        <v>0</v>
      </c>
    </row>
    <row r="930" spans="1:28" x14ac:dyDescent="0.2">
      <c r="A930" s="14" t="s">
        <v>5</v>
      </c>
      <c r="B930" s="2" t="s">
        <v>547</v>
      </c>
      <c r="C930" s="420">
        <f>SUM(C926:C929)</f>
        <v>0</v>
      </c>
      <c r="D930" s="272"/>
      <c r="H930" s="9"/>
      <c r="L930" s="131"/>
      <c r="M930" s="131"/>
      <c r="N930" s="131"/>
      <c r="O930" s="131"/>
      <c r="P930" s="131"/>
      <c r="Q930" s="131"/>
      <c r="R930" s="131"/>
      <c r="S930" s="131"/>
      <c r="T930" s="131"/>
      <c r="V930" s="192" t="s">
        <v>136</v>
      </c>
      <c r="W930" s="187">
        <f>W934-SUM(W928:W929,W931:W933)</f>
        <v>253400.52546516823</v>
      </c>
      <c r="X930" s="363"/>
      <c r="Y930" s="9" t="s">
        <v>110</v>
      </c>
      <c r="Z930" s="364"/>
      <c r="AA930" s="364">
        <f t="shared" ref="AA930:AA933" si="394">IF(Z930=0,0,Z930-Z929)</f>
        <v>0</v>
      </c>
      <c r="AB930" s="367">
        <f t="shared" ref="AB930:AB933" si="395">IF(Z930=0,0,Z930/Z929-1)</f>
        <v>0</v>
      </c>
    </row>
    <row r="931" spans="1:28" x14ac:dyDescent="0.2">
      <c r="A931" s="14" t="s">
        <v>5</v>
      </c>
      <c r="B931" s="8" t="s">
        <v>548</v>
      </c>
      <c r="C931" s="421">
        <f>SUM(C924,C930)</f>
        <v>3966.9749999999999</v>
      </c>
      <c r="D931" s="64" t="s">
        <v>541</v>
      </c>
      <c r="E931" s="64" t="s">
        <v>543</v>
      </c>
      <c r="L931" s="131"/>
      <c r="M931" s="131"/>
      <c r="N931" s="131"/>
      <c r="O931" s="131"/>
      <c r="P931" s="131"/>
      <c r="Q931" s="131"/>
      <c r="R931" s="131"/>
      <c r="S931" s="131"/>
      <c r="T931" s="131"/>
      <c r="U931" s="131"/>
      <c r="V931" s="192" t="s">
        <v>140</v>
      </c>
      <c r="W931" s="187">
        <f>SUM(AB891:AB894)+W902*Y891</f>
        <v>0</v>
      </c>
      <c r="X931" s="363"/>
      <c r="Y931" s="9" t="s">
        <v>111</v>
      </c>
      <c r="Z931" s="364"/>
      <c r="AA931" s="364">
        <f t="shared" si="394"/>
        <v>0</v>
      </c>
      <c r="AB931" s="367">
        <f t="shared" si="395"/>
        <v>0</v>
      </c>
    </row>
    <row r="932" spans="1:28" x14ac:dyDescent="0.2">
      <c r="A932" s="14" t="s">
        <v>5</v>
      </c>
      <c r="B932" s="129" t="s">
        <v>620</v>
      </c>
      <c r="C932" s="422" t="s">
        <v>542</v>
      </c>
      <c r="D932" s="64" t="s">
        <v>144</v>
      </c>
      <c r="E932" s="64" t="s">
        <v>544</v>
      </c>
      <c r="L932" s="9"/>
      <c r="M932" s="9"/>
      <c r="N932" s="9"/>
      <c r="O932" s="9"/>
      <c r="P932" s="9"/>
      <c r="Q932" s="9"/>
      <c r="R932" s="9"/>
      <c r="T932" s="131"/>
      <c r="V932" s="192" t="s">
        <v>141</v>
      </c>
      <c r="W932" s="187">
        <f>SUM(AB887:AB889)+Y887*W902</f>
        <v>0</v>
      </c>
      <c r="X932" s="363"/>
      <c r="Y932" s="9" t="s">
        <v>112</v>
      </c>
      <c r="Z932" s="364"/>
      <c r="AA932" s="364">
        <f>IF(Z932=0,0,Z932-Z931)</f>
        <v>0</v>
      </c>
      <c r="AB932" s="367">
        <f>IF(Z932=0,0,Z932/Z931-1)</f>
        <v>0</v>
      </c>
    </row>
    <row r="933" spans="1:28" ht="13.5" thickBot="1" x14ac:dyDescent="0.25">
      <c r="A933" s="14" t="s">
        <v>5</v>
      </c>
      <c r="B933" s="69" t="s">
        <v>519</v>
      </c>
      <c r="D933" s="89">
        <f>IFERROR(C922/S830/C948,0)</f>
        <v>6.6116250000000001</v>
      </c>
      <c r="E933" s="271">
        <f>IFERROR(C930/S830/C948,0)</f>
        <v>0</v>
      </c>
      <c r="L933" s="9"/>
      <c r="M933" s="9"/>
      <c r="N933" s="9"/>
      <c r="O933" s="9"/>
      <c r="P933" s="9"/>
      <c r="Q933" s="9"/>
      <c r="R933" s="9"/>
      <c r="U933" s="131"/>
      <c r="V933" s="193" t="s">
        <v>142</v>
      </c>
      <c r="W933" s="188">
        <f>SUM(AB875:AB885)+SUM(Y877,Y880,Y883)*W902</f>
        <v>0</v>
      </c>
      <c r="X933" s="363"/>
      <c r="Y933" s="9" t="s">
        <v>113</v>
      </c>
      <c r="Z933" s="364"/>
      <c r="AA933" s="364">
        <f t="shared" si="394"/>
        <v>0</v>
      </c>
      <c r="AB933" s="367">
        <f t="shared" si="395"/>
        <v>0</v>
      </c>
    </row>
    <row r="934" spans="1:28" x14ac:dyDescent="0.2">
      <c r="A934" s="14" t="s">
        <v>5</v>
      </c>
      <c r="B934" s="69" t="s">
        <v>520</v>
      </c>
      <c r="C934" s="260">
        <v>1</v>
      </c>
      <c r="D934" s="89">
        <f>D$933*$C934</f>
        <v>6.6116250000000001</v>
      </c>
      <c r="G934" s="2"/>
      <c r="K934" s="9"/>
      <c r="L934" s="9"/>
      <c r="M934" s="9"/>
      <c r="N934" s="9"/>
      <c r="O934" s="9"/>
      <c r="P934" s="9"/>
      <c r="Q934" s="9"/>
      <c r="R934" s="9"/>
      <c r="T934" s="2"/>
      <c r="U934" s="131"/>
      <c r="V934" s="192" t="s">
        <v>9</v>
      </c>
      <c r="W934" s="187">
        <f>AB908</f>
        <v>253400.52546516823</v>
      </c>
      <c r="AA934" s="131"/>
      <c r="AB934" s="104"/>
    </row>
    <row r="935" spans="1:28" x14ac:dyDescent="0.2">
      <c r="A935" s="14" t="s">
        <v>5</v>
      </c>
      <c r="B935" s="71" t="s">
        <v>521</v>
      </c>
      <c r="C935" s="260">
        <f>1-C934</f>
        <v>0</v>
      </c>
      <c r="D935" s="89">
        <f>D$933*$C935</f>
        <v>0</v>
      </c>
      <c r="G935" s="2"/>
      <c r="K935" s="9"/>
      <c r="L935" s="9"/>
      <c r="M935" s="9"/>
      <c r="N935" s="9"/>
      <c r="O935" s="9"/>
      <c r="P935" s="9"/>
      <c r="Q935" s="9"/>
      <c r="R935" s="9"/>
      <c r="U935" s="9"/>
      <c r="V935" s="9"/>
    </row>
    <row r="936" spans="1:28" x14ac:dyDescent="0.2">
      <c r="A936" s="14" t="s">
        <v>5</v>
      </c>
      <c r="B936" s="69" t="s">
        <v>678</v>
      </c>
      <c r="C936" s="150">
        <v>10</v>
      </c>
      <c r="D936" s="273">
        <f>D934/$C936</f>
        <v>0.66116249999999999</v>
      </c>
      <c r="G936" s="2"/>
      <c r="K936" s="9"/>
      <c r="L936" s="9"/>
      <c r="M936" s="9"/>
      <c r="N936" s="9"/>
      <c r="O936" s="9"/>
      <c r="P936" s="9"/>
      <c r="Q936" s="9"/>
      <c r="R936" s="9"/>
      <c r="U936" s="9"/>
    </row>
    <row r="937" spans="1:28" ht="13.5" thickBot="1" x14ac:dyDescent="0.25">
      <c r="A937" s="14" t="s">
        <v>5</v>
      </c>
      <c r="B937" s="140" t="s">
        <v>522</v>
      </c>
      <c r="C937" s="261">
        <v>10</v>
      </c>
      <c r="D937" s="257">
        <f>D935/$C937</f>
        <v>0</v>
      </c>
      <c r="G937" s="2"/>
      <c r="K937" s="9"/>
      <c r="L937" s="9"/>
      <c r="R937" s="9"/>
      <c r="U937" s="9"/>
    </row>
    <row r="938" spans="1:28" x14ac:dyDescent="0.2">
      <c r="A938" s="14" t="s">
        <v>5</v>
      </c>
      <c r="D938" s="9"/>
      <c r="E938" s="2"/>
      <c r="L938" s="9"/>
      <c r="R938" s="9"/>
      <c r="U938" s="9"/>
    </row>
    <row r="939" spans="1:28" x14ac:dyDescent="0.2">
      <c r="A939" s="14" t="s">
        <v>5</v>
      </c>
      <c r="D939" s="9"/>
      <c r="E939" s="2"/>
      <c r="L939" s="9"/>
      <c r="R939" s="9"/>
      <c r="U939" s="9"/>
    </row>
    <row r="940" spans="1:28" x14ac:dyDescent="0.2">
      <c r="A940" s="14" t="s">
        <v>5</v>
      </c>
      <c r="B940" s="129" t="s">
        <v>523</v>
      </c>
      <c r="C940" s="419" t="s">
        <v>62</v>
      </c>
      <c r="D940" s="68" t="s">
        <v>71</v>
      </c>
      <c r="E940" s="68" t="s">
        <v>199</v>
      </c>
      <c r="F940" s="68" t="s">
        <v>8</v>
      </c>
      <c r="L940" s="9"/>
      <c r="U940" s="9"/>
    </row>
    <row r="941" spans="1:28" x14ac:dyDescent="0.2">
      <c r="A941" s="14" t="s">
        <v>5</v>
      </c>
      <c r="B941" s="69" t="s">
        <v>178</v>
      </c>
      <c r="C941" s="32"/>
      <c r="D941" s="53">
        <f>C941*$S$828</f>
        <v>0</v>
      </c>
      <c r="E941" s="227">
        <f>C941/4.33</f>
        <v>0</v>
      </c>
      <c r="F941" s="45"/>
      <c r="L941" s="9"/>
    </row>
    <row r="942" spans="1:28" x14ac:dyDescent="0.2">
      <c r="A942" s="14" t="s">
        <v>5</v>
      </c>
      <c r="B942" s="69" t="s">
        <v>524</v>
      </c>
      <c r="C942" s="32"/>
      <c r="D942" s="53">
        <f>C942*$S$828</f>
        <v>0</v>
      </c>
      <c r="E942" s="227">
        <f>C942/4.33</f>
        <v>0</v>
      </c>
      <c r="F942" s="45"/>
      <c r="L942" s="9"/>
    </row>
    <row r="943" spans="1:28" ht="13.5" thickBot="1" x14ac:dyDescent="0.25">
      <c r="A943" s="14" t="s">
        <v>5</v>
      </c>
      <c r="B943" s="74" t="s">
        <v>525</v>
      </c>
      <c r="C943" s="82"/>
      <c r="D943" s="274">
        <f>C943*$S$828</f>
        <v>0</v>
      </c>
      <c r="E943" s="285">
        <f>C943/4.33</f>
        <v>0</v>
      </c>
      <c r="F943" s="101"/>
      <c r="L943" s="9"/>
    </row>
    <row r="944" spans="1:28" ht="13.5" thickBot="1" x14ac:dyDescent="0.25">
      <c r="A944" s="14" t="s">
        <v>5</v>
      </c>
      <c r="B944" s="128" t="s">
        <v>526</v>
      </c>
      <c r="C944" s="83"/>
      <c r="D944" s="275">
        <f>C944*$S$828</f>
        <v>0</v>
      </c>
      <c r="E944" s="276">
        <f>C944/4.33</f>
        <v>0</v>
      </c>
      <c r="F944" s="291">
        <f>SUM(F941:F943)</f>
        <v>0</v>
      </c>
      <c r="L944" s="9"/>
    </row>
    <row r="945" spans="1:22" x14ac:dyDescent="0.2">
      <c r="A945" s="14" t="s">
        <v>5</v>
      </c>
      <c r="B945" s="2"/>
      <c r="D945" s="9"/>
      <c r="E945" s="226"/>
      <c r="L945" s="9"/>
    </row>
    <row r="946" spans="1:22" x14ac:dyDescent="0.2">
      <c r="A946" s="14" t="s">
        <v>5</v>
      </c>
      <c r="B946" s="69" t="s">
        <v>527</v>
      </c>
      <c r="C946" s="32">
        <v>1</v>
      </c>
      <c r="D946" s="89">
        <f t="shared" ref="D946:D951" si="396">C946*$S$828</f>
        <v>5</v>
      </c>
      <c r="E946" s="227">
        <f t="shared" ref="E946" si="397">C946/4.33</f>
        <v>0.23094688221709006</v>
      </c>
      <c r="F946" s="89">
        <f>V822/2</f>
        <v>0</v>
      </c>
      <c r="L946" s="9"/>
    </row>
    <row r="947" spans="1:22" x14ac:dyDescent="0.2">
      <c r="A947" s="14" t="s">
        <v>5</v>
      </c>
      <c r="B947" s="69" t="s">
        <v>528</v>
      </c>
      <c r="C947" s="32"/>
      <c r="D947" s="53">
        <f t="shared" si="396"/>
        <v>0</v>
      </c>
      <c r="E947" s="227">
        <f>ROUNDUP(C947/4.33,1)</f>
        <v>0</v>
      </c>
      <c r="F947" s="45"/>
      <c r="L947" s="9"/>
    </row>
    <row r="948" spans="1:22" x14ac:dyDescent="0.2">
      <c r="A948" s="14" t="s">
        <v>5</v>
      </c>
      <c r="B948" s="69" t="s">
        <v>529</v>
      </c>
      <c r="C948" s="32">
        <v>12</v>
      </c>
      <c r="D948" s="99">
        <f t="shared" si="396"/>
        <v>60</v>
      </c>
      <c r="E948" s="99">
        <f>ROUNDUP(C948/4.33,1)</f>
        <v>2.8000000000000003</v>
      </c>
      <c r="F948" s="45"/>
      <c r="L948" s="9"/>
    </row>
    <row r="949" spans="1:22" x14ac:dyDescent="0.2">
      <c r="A949" s="14" t="s">
        <v>5</v>
      </c>
      <c r="B949" s="69" t="s">
        <v>61</v>
      </c>
      <c r="C949" s="32"/>
      <c r="D949" s="90">
        <f t="shared" si="396"/>
        <v>0</v>
      </c>
      <c r="E949" s="99">
        <f>ROUNDUP(C949/4.33,1)</f>
        <v>0</v>
      </c>
      <c r="F949" s="32"/>
      <c r="L949" s="9"/>
      <c r="U949" s="131"/>
      <c r="V949" s="131"/>
    </row>
    <row r="950" spans="1:22" ht="13.5" thickBot="1" x14ac:dyDescent="0.25">
      <c r="A950" s="14" t="s">
        <v>5</v>
      </c>
      <c r="B950" s="69" t="s">
        <v>530</v>
      </c>
      <c r="C950" s="32">
        <v>1</v>
      </c>
      <c r="D950" s="89">
        <f t="shared" si="396"/>
        <v>5</v>
      </c>
      <c r="E950" s="227">
        <f>ROUNDUP(C950/4.33,1)</f>
        <v>0.30000000000000004</v>
      </c>
      <c r="F950" s="7">
        <f>V822/2</f>
        <v>0</v>
      </c>
      <c r="L950" s="9"/>
      <c r="U950" s="131"/>
      <c r="V950" s="131"/>
    </row>
    <row r="951" spans="1:22" ht="13.5" thickBot="1" x14ac:dyDescent="0.25">
      <c r="A951" s="14" t="s">
        <v>5</v>
      </c>
      <c r="B951" s="127" t="s">
        <v>531</v>
      </c>
      <c r="C951" s="83">
        <f>SUM(C946:C950)</f>
        <v>14</v>
      </c>
      <c r="D951" s="276">
        <f t="shared" si="396"/>
        <v>70</v>
      </c>
      <c r="E951" s="276">
        <f>ROUNDUP(C951/4.33,1)</f>
        <v>3.3000000000000003</v>
      </c>
      <c r="F951" s="291">
        <f>SUM(F946:F950)</f>
        <v>0</v>
      </c>
      <c r="L951" s="9"/>
      <c r="U951" s="9"/>
    </row>
    <row r="952" spans="1:22" ht="13.5" thickBot="1" x14ac:dyDescent="0.25">
      <c r="A952" s="14" t="s">
        <v>5</v>
      </c>
      <c r="B952" s="236"/>
      <c r="C952" s="89"/>
      <c r="D952" s="9"/>
      <c r="E952" s="226"/>
      <c r="L952" s="9"/>
      <c r="U952" s="9"/>
    </row>
    <row r="953" spans="1:22" ht="13.5" thickBot="1" x14ac:dyDescent="0.25">
      <c r="A953" s="14" t="s">
        <v>5</v>
      </c>
      <c r="B953" s="127" t="s">
        <v>532</v>
      </c>
      <c r="C953" s="83"/>
      <c r="D953" s="275">
        <f>C953*$S$828</f>
        <v>0</v>
      </c>
      <c r="E953" s="276">
        <f>ROUNDUP(C953/4.33,1)</f>
        <v>0</v>
      </c>
      <c r="F953" s="291">
        <f>F944+F951</f>
        <v>0</v>
      </c>
      <c r="L953" s="9"/>
      <c r="U953" s="9"/>
    </row>
  </sheetData>
  <autoFilter ref="A1:AF953" xr:uid="{F76AEEFF-F911-4952-AEE2-E29910770114}">
    <filterColumn colId="0">
      <customFilters>
        <customFilter operator="notEqual" val=" "/>
      </customFilters>
    </filterColumn>
  </autoFilter>
  <dataConsolidate/>
  <phoneticPr fontId="11" type="noConversion"/>
  <conditionalFormatting sqref="AB909">
    <cfRule type="cellIs" dxfId="2" priority="91" operator="lessThan">
      <formula>-4</formula>
    </cfRule>
    <cfRule type="cellIs" dxfId="1" priority="92" operator="greaterThan">
      <formula>4</formula>
    </cfRule>
  </conditionalFormatting>
  <conditionalFormatting sqref="X918">
    <cfRule type="cellIs" dxfId="0" priority="64" operator="greaterThan">
      <formula>0</formula>
    </cfRule>
  </conditionalFormatting>
  <dataValidations disablePrompts="1" count="5">
    <dataValidation allowBlank="1" showInputMessage="1" showErrorMessage="1" prompt="% of Direct Field Labor" sqref="T784:T785" xr:uid="{00000000-0002-0000-0000-000000000000}"/>
    <dataValidation allowBlank="1" showInputMessage="1" showErrorMessage="1" promptTitle="Bolts &amp; Gaskets" prompt="This value should be auto-populated from the Bolts &amp; Gaskets worksheet." sqref="Y576" xr:uid="{00000000-0002-0000-0000-000001000000}"/>
    <dataValidation allowBlank="1" showInputMessage="1" showErrorMessage="1" promptTitle="Paint" prompt="This value should be auto-populated from the Paint worksheet." sqref="S902:S903 S900" xr:uid="{00000000-0002-0000-0000-000002000000}"/>
    <dataValidation allowBlank="1" showInputMessage="1" showErrorMessage="1" promptTitle="Hydro Testing" prompt="This value should be auto-populated from the HydroTesting Worksheet." sqref="V611 V609" xr:uid="{00000000-0002-0000-0000-000003000000}"/>
    <dataValidation type="list" allowBlank="1" showInputMessage="1" showErrorMessage="1" sqref="I2:R2 I842:R846 I848:R848 S904:T907 I901:R901 I904:R908 C907:D907 F907:H907" xr:uid="{00000000-0002-0000-0000-000007000000}">
      <formula1>#REF!</formula1>
    </dataValidation>
  </dataValidations>
  <pageMargins left="0.5" right="0.5" top="1.25" bottom="0.75" header="0.25" footer="0.3"/>
  <pageSetup paperSize="3" scale="77" fitToHeight="0" orientation="landscape" r:id="rId1"/>
  <headerFooter>
    <oddHeader xml:space="preserve">&amp;CEstimate Sheet&amp;L_x000D__x000D_Estim No: 24-XXXX_x000D_Project: XXXXX_x000D_Client: XXXXX_x000D_Job Location: XXXXX&amp;R_x000D_Rev: 0_x000D_Date: 1/1/2024_x000D_Due Date: 1/1/2024_x000D_Estim: XXX_x000D_Review: </oddHeader>
    <oddFooter>&amp;C&amp;P of &amp;N&amp;R&amp;F</oddFooter>
  </headerFooter>
  <ignoredErrors>
    <ignoredError sqref="AB191 AB195 AB505 AB584 AB588 AB596 AB671:AB672 AB683 AB693 AB797:AB799 Y840:AA840 Y845:AA845 W598" formula="1"/>
    <ignoredError sqref="U567:U568 W574:W576 W578:W579 U582 W584 U595 U604 U606 W624 W644 W782 W824 W571:W572 W891:W894 U597:U600 U590:U591 W896:W900 U593 W601 U602 U550 U640 W548:W549 U587:U588" formulaRange="1"/>
    <ignoredError sqref="W596" formula="1" formulaRange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rgb="FF00B050"/>
    <pageSetUpPr fitToPage="1"/>
  </sheetPr>
  <dimension ref="A1:P108"/>
  <sheetViews>
    <sheetView zoomScale="85" zoomScaleNormal="85" workbookViewId="0">
      <pane ySplit="1" topLeftCell="A2" activePane="bottomLeft" state="frozen"/>
      <selection activeCell="D35" sqref="D34:D35"/>
      <selection pane="bottomLeft" activeCell="A2" sqref="A2"/>
    </sheetView>
  </sheetViews>
  <sheetFormatPr defaultColWidth="9.28515625" defaultRowHeight="12.75" x14ac:dyDescent="0.2"/>
  <cols>
    <col min="1" max="1" width="9.7109375" style="9" customWidth="1"/>
    <col min="2" max="2" width="9.28515625" style="9"/>
    <col min="3" max="3" width="9.28515625" style="2"/>
    <col min="4" max="4" width="9.7109375" style="9" customWidth="1"/>
    <col min="5" max="6" width="9.28515625" style="2"/>
    <col min="7" max="7" width="13.85546875" style="2" customWidth="1"/>
    <col min="8" max="8" width="9.28515625" style="2"/>
    <col min="9" max="9" width="11.7109375" style="2" customWidth="1"/>
    <col min="10" max="10" width="11.28515625" style="2" customWidth="1"/>
    <col min="11" max="11" width="13" style="2" customWidth="1"/>
    <col min="12" max="12" width="12" style="9" customWidth="1"/>
    <col min="13" max="14" width="9.28515625" style="2"/>
    <col min="15" max="15" width="11.5703125" style="2" bestFit="1" customWidth="1"/>
    <col min="16" max="16" width="11.5703125" style="2" customWidth="1"/>
    <col min="17" max="16384" width="9.28515625" style="2"/>
  </cols>
  <sheetData>
    <row r="1" spans="1:16" ht="25.5" x14ac:dyDescent="0.2">
      <c r="A1" s="336" t="s">
        <v>736</v>
      </c>
      <c r="B1" s="336" t="s">
        <v>737</v>
      </c>
      <c r="C1" s="336" t="s">
        <v>692</v>
      </c>
      <c r="D1" s="337" t="s">
        <v>693</v>
      </c>
      <c r="E1" s="336" t="s">
        <v>703</v>
      </c>
      <c r="F1" s="336" t="s">
        <v>733</v>
      </c>
      <c r="G1" s="336" t="s">
        <v>735</v>
      </c>
      <c r="H1" s="336" t="s">
        <v>699</v>
      </c>
      <c r="I1" s="336" t="s">
        <v>698</v>
      </c>
      <c r="J1" s="336" t="s">
        <v>700</v>
      </c>
      <c r="K1" s="336" t="s">
        <v>696</v>
      </c>
      <c r="L1" s="336" t="s">
        <v>697</v>
      </c>
      <c r="M1" s="336" t="s">
        <v>701</v>
      </c>
      <c r="N1" s="336" t="s">
        <v>702</v>
      </c>
      <c r="O1" s="336" t="s">
        <v>691</v>
      </c>
      <c r="P1" s="336" t="s">
        <v>734</v>
      </c>
    </row>
    <row r="2" spans="1:16" ht="15" x14ac:dyDescent="0.25">
      <c r="A2" s="9">
        <v>150</v>
      </c>
      <c r="B2" s="9">
        <v>0.5</v>
      </c>
      <c r="C2" s="324">
        <f>SUMIFS(Estimate!$S$187:$S$286,Estimate!$F$187:$F$286,'B&amp;G'!A2,Estimate!$E$187:$E$286,'B&amp;G'!B2)</f>
        <v>0</v>
      </c>
      <c r="D2" s="9">
        <v>4</v>
      </c>
      <c r="E2" s="137">
        <v>0.5</v>
      </c>
      <c r="F2" s="414">
        <v>2.5</v>
      </c>
      <c r="G2" s="414">
        <v>0.28000000000000003</v>
      </c>
      <c r="H2" s="325">
        <v>0.38</v>
      </c>
      <c r="I2" s="325">
        <v>1.35</v>
      </c>
      <c r="J2" s="326">
        <f t="shared" ref="J2:J33" si="0">D2*H2+I2</f>
        <v>2.87</v>
      </c>
      <c r="K2" s="327">
        <f t="shared" ref="K2:K33" si="1">J2*C2</f>
        <v>0</v>
      </c>
      <c r="L2" s="328">
        <v>45383</v>
      </c>
      <c r="M2" s="333">
        <f t="shared" ref="M2:M33" si="2">IF(E2&gt;=$D$107,C2,0)</f>
        <v>0</v>
      </c>
      <c r="N2" s="334">
        <v>2.5</v>
      </c>
      <c r="O2" s="335">
        <f>M2*N2</f>
        <v>0</v>
      </c>
      <c r="P2" s="335">
        <f t="shared" ref="P2:P33" si="3">H2/G2</f>
        <v>1.357142857142857</v>
      </c>
    </row>
    <row r="3" spans="1:16" ht="15" x14ac:dyDescent="0.25">
      <c r="A3" s="9">
        <v>150</v>
      </c>
      <c r="B3" s="9">
        <v>0.75</v>
      </c>
      <c r="C3" s="324">
        <f>SUMIFS(Estimate!$S$187:$S$286,Estimate!$F$187:$F$286,'B&amp;G'!A3,Estimate!$E$187:$E$286,'B&amp;G'!B3)</f>
        <v>0</v>
      </c>
      <c r="D3" s="9">
        <v>4</v>
      </c>
      <c r="E3" s="137">
        <v>0.5</v>
      </c>
      <c r="F3" s="414">
        <v>2.75</v>
      </c>
      <c r="G3" s="414">
        <v>0.3</v>
      </c>
      <c r="H3" s="325">
        <v>0.38</v>
      </c>
      <c r="I3" s="325">
        <v>1.35</v>
      </c>
      <c r="J3" s="326">
        <f t="shared" si="0"/>
        <v>2.87</v>
      </c>
      <c r="K3" s="327">
        <f t="shared" si="1"/>
        <v>0</v>
      </c>
      <c r="L3" s="328">
        <v>45383</v>
      </c>
      <c r="M3" s="333">
        <f t="shared" si="2"/>
        <v>0</v>
      </c>
      <c r="N3" s="334">
        <v>2.5</v>
      </c>
      <c r="O3" s="335">
        <f t="shared" ref="O3:O66" si="4">M3*N3</f>
        <v>0</v>
      </c>
      <c r="P3" s="335">
        <f t="shared" si="3"/>
        <v>1.2666666666666668</v>
      </c>
    </row>
    <row r="4" spans="1:16" ht="15" x14ac:dyDescent="0.25">
      <c r="A4" s="9">
        <v>150</v>
      </c>
      <c r="B4" s="9">
        <v>1</v>
      </c>
      <c r="C4" s="324">
        <f>SUMIFS(Estimate!$S$187:$S$286,Estimate!$F$187:$F$286,'B&amp;G'!A4,Estimate!$E$187:$E$286,'B&amp;G'!B4)</f>
        <v>0</v>
      </c>
      <c r="D4" s="9">
        <v>4</v>
      </c>
      <c r="E4" s="137">
        <v>0.5</v>
      </c>
      <c r="F4" s="414">
        <v>2.75</v>
      </c>
      <c r="G4" s="414">
        <v>0.3</v>
      </c>
      <c r="H4" s="325">
        <v>0.38</v>
      </c>
      <c r="I4" s="325">
        <v>1.4001944444444445</v>
      </c>
      <c r="J4" s="326">
        <f t="shared" si="0"/>
        <v>2.9201944444444443</v>
      </c>
      <c r="K4" s="327">
        <f t="shared" si="1"/>
        <v>0</v>
      </c>
      <c r="L4" s="328">
        <v>45383</v>
      </c>
      <c r="M4" s="333">
        <f t="shared" si="2"/>
        <v>0</v>
      </c>
      <c r="N4" s="334">
        <v>2.5</v>
      </c>
      <c r="O4" s="335">
        <f t="shared" si="4"/>
        <v>0</v>
      </c>
      <c r="P4" s="335">
        <f t="shared" si="3"/>
        <v>1.2666666666666668</v>
      </c>
    </row>
    <row r="5" spans="1:16" ht="15" x14ac:dyDescent="0.25">
      <c r="A5" s="9">
        <v>150</v>
      </c>
      <c r="B5" s="9">
        <v>1.5</v>
      </c>
      <c r="C5" s="324">
        <f>SUMIFS(Estimate!$S$187:$S$286,Estimate!$F$187:$F$286,'B&amp;G'!A5,Estimate!$E$187:$E$286,'B&amp;G'!B5)</f>
        <v>0</v>
      </c>
      <c r="D5" s="9">
        <v>4</v>
      </c>
      <c r="E5" s="137">
        <v>0.5</v>
      </c>
      <c r="F5" s="414">
        <v>3</v>
      </c>
      <c r="G5" s="414">
        <v>0.31</v>
      </c>
      <c r="H5" s="325">
        <v>0.38</v>
      </c>
      <c r="I5" s="325">
        <v>3.0004166666666667</v>
      </c>
      <c r="J5" s="326">
        <f t="shared" si="0"/>
        <v>4.5204166666666667</v>
      </c>
      <c r="K5" s="327">
        <f t="shared" si="1"/>
        <v>0</v>
      </c>
      <c r="L5" s="328">
        <v>45383</v>
      </c>
      <c r="M5" s="333">
        <f t="shared" si="2"/>
        <v>0</v>
      </c>
      <c r="N5" s="334">
        <v>2.5</v>
      </c>
      <c r="O5" s="335">
        <f t="shared" si="4"/>
        <v>0</v>
      </c>
      <c r="P5" s="335">
        <f t="shared" si="3"/>
        <v>1.2258064516129032</v>
      </c>
    </row>
    <row r="6" spans="1:16" ht="15" x14ac:dyDescent="0.25">
      <c r="A6" s="9">
        <v>150</v>
      </c>
      <c r="B6" s="9">
        <v>2</v>
      </c>
      <c r="C6" s="324">
        <f>SUMIFS(Estimate!$S$187:$S$286,Estimate!$F$187:$F$286,'B&amp;G'!A6,Estimate!$E$187:$E$286,'B&amp;G'!B6)</f>
        <v>0</v>
      </c>
      <c r="D6" s="9">
        <v>4</v>
      </c>
      <c r="E6" s="137">
        <v>0.625</v>
      </c>
      <c r="F6" s="414">
        <v>3.5</v>
      </c>
      <c r="G6" s="414">
        <v>0.55000000000000004</v>
      </c>
      <c r="H6" s="325">
        <v>0.63</v>
      </c>
      <c r="I6" s="325">
        <v>3.6847222222222222</v>
      </c>
      <c r="J6" s="326">
        <f t="shared" si="0"/>
        <v>6.2047222222222222</v>
      </c>
      <c r="K6" s="327">
        <f t="shared" si="1"/>
        <v>0</v>
      </c>
      <c r="L6" s="328">
        <v>45383</v>
      </c>
      <c r="M6" s="333">
        <f t="shared" si="2"/>
        <v>0</v>
      </c>
      <c r="N6" s="334">
        <v>2.5</v>
      </c>
      <c r="O6" s="335">
        <f t="shared" si="4"/>
        <v>0</v>
      </c>
      <c r="P6" s="335">
        <f t="shared" si="3"/>
        <v>1.1454545454545453</v>
      </c>
    </row>
    <row r="7" spans="1:16" ht="15" x14ac:dyDescent="0.25">
      <c r="A7" s="9">
        <v>150</v>
      </c>
      <c r="B7" s="9">
        <v>3</v>
      </c>
      <c r="C7" s="324">
        <f>SUMIFS(Estimate!$S$187:$S$286,Estimate!$F$187:$F$286,'B&amp;G'!A7,Estimate!$E$187:$E$286,'B&amp;G'!B7)</f>
        <v>0</v>
      </c>
      <c r="D7" s="9">
        <v>4</v>
      </c>
      <c r="E7" s="137">
        <v>0.625</v>
      </c>
      <c r="F7" s="414">
        <v>3.75</v>
      </c>
      <c r="G7" s="414">
        <v>0.57000000000000006</v>
      </c>
      <c r="H7" s="325">
        <v>0.63</v>
      </c>
      <c r="I7" s="325">
        <v>6.1587499999999995</v>
      </c>
      <c r="J7" s="326">
        <f t="shared" si="0"/>
        <v>8.6787499999999991</v>
      </c>
      <c r="K7" s="327">
        <f t="shared" si="1"/>
        <v>0</v>
      </c>
      <c r="L7" s="328">
        <v>45383</v>
      </c>
      <c r="M7" s="333">
        <f t="shared" si="2"/>
        <v>0</v>
      </c>
      <c r="N7" s="334">
        <v>2.5</v>
      </c>
      <c r="O7" s="335">
        <f t="shared" si="4"/>
        <v>0</v>
      </c>
      <c r="P7" s="335">
        <f t="shared" si="3"/>
        <v>1.1052631578947367</v>
      </c>
    </row>
    <row r="8" spans="1:16" ht="15" x14ac:dyDescent="0.25">
      <c r="A8" s="9">
        <v>150</v>
      </c>
      <c r="B8" s="9">
        <v>4</v>
      </c>
      <c r="C8" s="324">
        <f>SUMIFS(Estimate!$S$187:$S$286,Estimate!$F$187:$F$286,'B&amp;G'!A8,Estimate!$E$187:$E$286,'B&amp;G'!B8)</f>
        <v>0</v>
      </c>
      <c r="D8" s="9">
        <v>8</v>
      </c>
      <c r="E8" s="137">
        <v>0.625</v>
      </c>
      <c r="F8" s="414">
        <v>3.75</v>
      </c>
      <c r="G8" s="414">
        <v>0.57000000000000006</v>
      </c>
      <c r="H8" s="325">
        <v>0.63</v>
      </c>
      <c r="I8" s="325">
        <v>7.5273611111111114</v>
      </c>
      <c r="J8" s="326">
        <f t="shared" si="0"/>
        <v>12.567361111111111</v>
      </c>
      <c r="K8" s="327">
        <f t="shared" si="1"/>
        <v>0</v>
      </c>
      <c r="L8" s="328">
        <v>45383</v>
      </c>
      <c r="M8" s="333">
        <f t="shared" si="2"/>
        <v>0</v>
      </c>
      <c r="N8" s="334">
        <v>4.8999999999999995</v>
      </c>
      <c r="O8" s="335">
        <f t="shared" si="4"/>
        <v>0</v>
      </c>
      <c r="P8" s="335">
        <f t="shared" si="3"/>
        <v>1.1052631578947367</v>
      </c>
    </row>
    <row r="9" spans="1:16" ht="15" x14ac:dyDescent="0.25">
      <c r="A9" s="9">
        <v>150</v>
      </c>
      <c r="B9" s="9">
        <v>6</v>
      </c>
      <c r="C9" s="324">
        <f>SUMIFS(Estimate!$S$187:$S$286,Estimate!$F$187:$F$286,'B&amp;G'!A9,Estimate!$E$187:$E$286,'B&amp;G'!B9)</f>
        <v>0</v>
      </c>
      <c r="D9" s="9">
        <v>8</v>
      </c>
      <c r="E9" s="137">
        <v>0.75</v>
      </c>
      <c r="F9" s="414">
        <v>4.25</v>
      </c>
      <c r="G9" s="414">
        <v>0.94000000000000006</v>
      </c>
      <c r="H9" s="325">
        <v>1.03</v>
      </c>
      <c r="I9" s="325">
        <v>12.001666666666667</v>
      </c>
      <c r="J9" s="326">
        <f t="shared" si="0"/>
        <v>20.241666666666667</v>
      </c>
      <c r="K9" s="327">
        <f t="shared" si="1"/>
        <v>0</v>
      </c>
      <c r="L9" s="328">
        <v>45383</v>
      </c>
      <c r="M9" s="333">
        <f t="shared" si="2"/>
        <v>0</v>
      </c>
      <c r="N9" s="334">
        <v>4.8999999999999995</v>
      </c>
      <c r="O9" s="335">
        <f t="shared" si="4"/>
        <v>0</v>
      </c>
      <c r="P9" s="335">
        <f t="shared" si="3"/>
        <v>1.0957446808510638</v>
      </c>
    </row>
    <row r="10" spans="1:16" ht="15" x14ac:dyDescent="0.25">
      <c r="A10" s="9">
        <v>150</v>
      </c>
      <c r="B10" s="9">
        <v>8</v>
      </c>
      <c r="C10" s="324">
        <f>SUMIFS(Estimate!$S$187:$S$286,Estimate!$F$187:$F$286,'B&amp;G'!A10,Estimate!$E$187:$E$286,'B&amp;G'!B10)</f>
        <v>0</v>
      </c>
      <c r="D10" s="9">
        <v>8</v>
      </c>
      <c r="E10" s="137">
        <v>0.75</v>
      </c>
      <c r="F10" s="414">
        <v>4.5</v>
      </c>
      <c r="G10" s="414">
        <v>0.97</v>
      </c>
      <c r="H10" s="325">
        <v>1.07</v>
      </c>
      <c r="I10" s="325">
        <v>15.265277777777778</v>
      </c>
      <c r="J10" s="326">
        <f t="shared" si="0"/>
        <v>23.825277777777778</v>
      </c>
      <c r="K10" s="327">
        <f t="shared" si="1"/>
        <v>0</v>
      </c>
      <c r="L10" s="328">
        <v>45383</v>
      </c>
      <c r="M10" s="333">
        <f t="shared" si="2"/>
        <v>0</v>
      </c>
      <c r="N10" s="334">
        <v>4.8999999999999995</v>
      </c>
      <c r="O10" s="335">
        <f t="shared" si="4"/>
        <v>0</v>
      </c>
      <c r="P10" s="335">
        <f t="shared" si="3"/>
        <v>1.1030927835051547</v>
      </c>
    </row>
    <row r="11" spans="1:16" ht="15" x14ac:dyDescent="0.25">
      <c r="A11" s="9">
        <v>150</v>
      </c>
      <c r="B11" s="9">
        <v>10</v>
      </c>
      <c r="C11" s="324">
        <f>SUMIFS(Estimate!$S$187:$S$286,Estimate!$F$187:$F$286,'B&amp;G'!A11,Estimate!$E$187:$E$286,'B&amp;G'!B11)</f>
        <v>0</v>
      </c>
      <c r="D11" s="9">
        <v>12</v>
      </c>
      <c r="E11" s="137">
        <v>0.875</v>
      </c>
      <c r="F11" s="414">
        <v>4.75</v>
      </c>
      <c r="G11" s="414">
        <v>1.42</v>
      </c>
      <c r="H11" s="325">
        <v>1.68</v>
      </c>
      <c r="I11" s="325">
        <v>20.213333333333335</v>
      </c>
      <c r="J11" s="326">
        <f t="shared" si="0"/>
        <v>40.373333333333335</v>
      </c>
      <c r="K11" s="327">
        <f t="shared" si="1"/>
        <v>0</v>
      </c>
      <c r="L11" s="328">
        <v>45383</v>
      </c>
      <c r="M11" s="333">
        <f t="shared" si="2"/>
        <v>0</v>
      </c>
      <c r="N11" s="334">
        <v>4.8999999999999995</v>
      </c>
      <c r="O11" s="335">
        <f t="shared" si="4"/>
        <v>0</v>
      </c>
      <c r="P11" s="335">
        <f t="shared" si="3"/>
        <v>1.1830985915492958</v>
      </c>
    </row>
    <row r="12" spans="1:16" ht="15" x14ac:dyDescent="0.25">
      <c r="A12" s="9">
        <v>150</v>
      </c>
      <c r="B12" s="9">
        <v>12</v>
      </c>
      <c r="C12" s="324">
        <f>SUMIFS(Estimate!$S$187:$S$286,Estimate!$F$187:$F$286,'B&amp;G'!A12,Estimate!$E$187:$E$286,'B&amp;G'!B12)</f>
        <v>0</v>
      </c>
      <c r="D12" s="9">
        <v>12</v>
      </c>
      <c r="E12" s="137">
        <v>0.875</v>
      </c>
      <c r="F12" s="414">
        <v>5</v>
      </c>
      <c r="G12" s="414">
        <v>1.46</v>
      </c>
      <c r="H12" s="325">
        <v>1.68</v>
      </c>
      <c r="I12" s="325">
        <v>27.00375</v>
      </c>
      <c r="J12" s="326">
        <f t="shared" si="0"/>
        <v>47.16375</v>
      </c>
      <c r="K12" s="327">
        <f t="shared" si="1"/>
        <v>0</v>
      </c>
      <c r="L12" s="328">
        <v>42093</v>
      </c>
      <c r="M12" s="333">
        <f t="shared" si="2"/>
        <v>0</v>
      </c>
      <c r="N12" s="334">
        <v>4.8999999999999995</v>
      </c>
      <c r="O12" s="335">
        <f t="shared" si="4"/>
        <v>0</v>
      </c>
      <c r="P12" s="335">
        <f t="shared" si="3"/>
        <v>1.1506849315068493</v>
      </c>
    </row>
    <row r="13" spans="1:16" ht="15" x14ac:dyDescent="0.25">
      <c r="A13" s="9">
        <v>150</v>
      </c>
      <c r="B13" s="9">
        <v>14</v>
      </c>
      <c r="C13" s="324">
        <f>SUMIFS(Estimate!$S$187:$S$286,Estimate!$F$187:$F$286,'B&amp;G'!A13,Estimate!$E$187:$E$286,'B&amp;G'!B13)</f>
        <v>0</v>
      </c>
      <c r="D13" s="9">
        <v>12</v>
      </c>
      <c r="E13" s="137">
        <v>1</v>
      </c>
      <c r="F13" s="414">
        <v>5.5</v>
      </c>
      <c r="G13" s="414">
        <v>2.09</v>
      </c>
      <c r="H13" s="325">
        <v>2.5</v>
      </c>
      <c r="I13" s="325">
        <v>37.163055555555552</v>
      </c>
      <c r="J13" s="326">
        <f t="shared" si="0"/>
        <v>67.163055555555559</v>
      </c>
      <c r="K13" s="327">
        <f t="shared" si="1"/>
        <v>0</v>
      </c>
      <c r="L13" s="328">
        <v>42093</v>
      </c>
      <c r="M13" s="333">
        <f t="shared" si="2"/>
        <v>0</v>
      </c>
      <c r="N13" s="334">
        <v>4.8999999999999995</v>
      </c>
      <c r="O13" s="335">
        <f t="shared" si="4"/>
        <v>0</v>
      </c>
      <c r="P13" s="335">
        <f t="shared" si="3"/>
        <v>1.1961722488038278</v>
      </c>
    </row>
    <row r="14" spans="1:16" ht="15" x14ac:dyDescent="0.25">
      <c r="A14" s="9">
        <v>150</v>
      </c>
      <c r="B14" s="9">
        <v>16</v>
      </c>
      <c r="C14" s="324">
        <f>SUMIFS(Estimate!$S$187:$S$286,Estimate!$F$187:$F$286,'B&amp;G'!A14,Estimate!$E$187:$E$286,'B&amp;G'!B14)</f>
        <v>0</v>
      </c>
      <c r="D14" s="9">
        <v>16</v>
      </c>
      <c r="E14" s="137">
        <v>1</v>
      </c>
      <c r="F14" s="414">
        <v>5.5</v>
      </c>
      <c r="G14" s="414">
        <v>2.09</v>
      </c>
      <c r="H14" s="325">
        <v>2.5</v>
      </c>
      <c r="I14" s="325">
        <v>30</v>
      </c>
      <c r="J14" s="326">
        <f t="shared" si="0"/>
        <v>70</v>
      </c>
      <c r="K14" s="327">
        <f t="shared" si="1"/>
        <v>0</v>
      </c>
      <c r="L14" s="328">
        <v>45402</v>
      </c>
      <c r="M14" s="333">
        <f t="shared" si="2"/>
        <v>0</v>
      </c>
      <c r="N14" s="334">
        <v>4.8999999999999995</v>
      </c>
      <c r="O14" s="335">
        <f t="shared" si="4"/>
        <v>0</v>
      </c>
      <c r="P14" s="335">
        <f t="shared" si="3"/>
        <v>1.1961722488038278</v>
      </c>
    </row>
    <row r="15" spans="1:16" ht="15" x14ac:dyDescent="0.25">
      <c r="A15" s="9">
        <v>150</v>
      </c>
      <c r="B15" s="9">
        <v>18</v>
      </c>
      <c r="C15" s="324">
        <f>SUMIFS(Estimate!$S$187:$S$286,Estimate!$F$187:$F$286,'B&amp;G'!A15,Estimate!$E$187:$E$286,'B&amp;G'!B15)</f>
        <v>0</v>
      </c>
      <c r="D15" s="9">
        <v>16</v>
      </c>
      <c r="E15" s="137">
        <v>1.125</v>
      </c>
      <c r="F15" s="414">
        <v>6</v>
      </c>
      <c r="G15" s="414">
        <v>2.88</v>
      </c>
      <c r="H15" s="325">
        <v>3.6</v>
      </c>
      <c r="I15" s="325">
        <v>36.6</v>
      </c>
      <c r="J15" s="326">
        <f t="shared" si="0"/>
        <v>94.2</v>
      </c>
      <c r="K15" s="327">
        <f t="shared" si="1"/>
        <v>0</v>
      </c>
      <c r="L15" s="328">
        <v>45402</v>
      </c>
      <c r="M15" s="333">
        <f t="shared" si="2"/>
        <v>0</v>
      </c>
      <c r="N15" s="334">
        <v>7.3</v>
      </c>
      <c r="O15" s="335">
        <f t="shared" si="4"/>
        <v>0</v>
      </c>
      <c r="P15" s="335">
        <f t="shared" si="3"/>
        <v>1.25</v>
      </c>
    </row>
    <row r="16" spans="1:16" ht="15" x14ac:dyDescent="0.25">
      <c r="A16" s="9">
        <v>150</v>
      </c>
      <c r="B16" s="9">
        <v>20</v>
      </c>
      <c r="C16" s="324">
        <f>SUMIFS(Estimate!$S$187:$S$286,Estimate!$F$187:$F$286,'B&amp;G'!A16,Estimate!$E$187:$E$286,'B&amp;G'!B16)</f>
        <v>0</v>
      </c>
      <c r="D16" s="9">
        <v>20</v>
      </c>
      <c r="E16" s="137">
        <v>1.125</v>
      </c>
      <c r="F16" s="414">
        <v>6.5</v>
      </c>
      <c r="G16" s="414">
        <v>3.0199999999999996</v>
      </c>
      <c r="H16" s="325">
        <v>3.6</v>
      </c>
      <c r="I16" s="325">
        <v>47.375</v>
      </c>
      <c r="J16" s="326">
        <f t="shared" si="0"/>
        <v>119.375</v>
      </c>
      <c r="K16" s="327">
        <f t="shared" si="1"/>
        <v>0</v>
      </c>
      <c r="L16" s="328">
        <v>42093</v>
      </c>
      <c r="M16" s="333">
        <f t="shared" si="2"/>
        <v>0</v>
      </c>
      <c r="N16" s="334">
        <v>7.3</v>
      </c>
      <c r="O16" s="335">
        <f t="shared" si="4"/>
        <v>0</v>
      </c>
      <c r="P16" s="335">
        <f t="shared" si="3"/>
        <v>1.1920529801324504</v>
      </c>
    </row>
    <row r="17" spans="1:16" ht="15" x14ac:dyDescent="0.25">
      <c r="A17" s="9">
        <v>150</v>
      </c>
      <c r="B17" s="9">
        <v>24</v>
      </c>
      <c r="C17" s="324">
        <f>SUMIFS(Estimate!$S$187:$S$286,Estimate!$F$187:$F$286,'B&amp;G'!A17,Estimate!$E$187:$E$286,'B&amp;G'!B17)</f>
        <v>0</v>
      </c>
      <c r="D17" s="9">
        <v>20</v>
      </c>
      <c r="E17" s="137">
        <v>1.25</v>
      </c>
      <c r="F17" s="414">
        <v>7</v>
      </c>
      <c r="G17" s="414">
        <v>4.0199999999999996</v>
      </c>
      <c r="H17" s="325">
        <v>4.78</v>
      </c>
      <c r="I17" s="325">
        <v>56.85</v>
      </c>
      <c r="J17" s="326">
        <f t="shared" si="0"/>
        <v>152.45000000000002</v>
      </c>
      <c r="K17" s="327">
        <f t="shared" si="1"/>
        <v>0</v>
      </c>
      <c r="L17" s="328">
        <v>42093</v>
      </c>
      <c r="M17" s="333">
        <f t="shared" si="2"/>
        <v>0</v>
      </c>
      <c r="N17" s="334">
        <v>7.3</v>
      </c>
      <c r="O17" s="335">
        <f t="shared" si="4"/>
        <v>0</v>
      </c>
      <c r="P17" s="335">
        <f t="shared" si="3"/>
        <v>1.1890547263681595</v>
      </c>
    </row>
    <row r="18" spans="1:16" ht="15" x14ac:dyDescent="0.25">
      <c r="A18" s="9">
        <v>150</v>
      </c>
      <c r="B18" s="9">
        <v>30</v>
      </c>
      <c r="C18" s="324">
        <f>SUMIFS(Estimate!$S$187:$S$286,Estimate!$F$187:$F$286,'B&amp;G'!A18,Estimate!$E$187:$E$286,'B&amp;G'!B18)</f>
        <v>0</v>
      </c>
      <c r="D18" s="9">
        <v>28</v>
      </c>
      <c r="E18" s="137">
        <v>1.25</v>
      </c>
      <c r="F18" s="414">
        <v>9.129999999999999</v>
      </c>
      <c r="G18" s="414">
        <v>4.76</v>
      </c>
      <c r="H18" s="325">
        <f>G18*1.2</f>
        <v>5.7119999999999997</v>
      </c>
      <c r="I18" s="325">
        <v>63.166666666666671</v>
      </c>
      <c r="J18" s="326">
        <f t="shared" si="0"/>
        <v>223.10266666666666</v>
      </c>
      <c r="K18" s="327">
        <f t="shared" si="1"/>
        <v>0</v>
      </c>
      <c r="L18" s="328">
        <v>42093</v>
      </c>
      <c r="M18" s="333">
        <f t="shared" si="2"/>
        <v>0</v>
      </c>
      <c r="N18" s="334">
        <v>7.3</v>
      </c>
      <c r="O18" s="335">
        <f t="shared" si="4"/>
        <v>0</v>
      </c>
      <c r="P18" s="335">
        <f t="shared" si="3"/>
        <v>1.2</v>
      </c>
    </row>
    <row r="19" spans="1:16" ht="15" x14ac:dyDescent="0.25">
      <c r="A19" s="9">
        <v>150</v>
      </c>
      <c r="B19" s="9">
        <v>36</v>
      </c>
      <c r="C19" s="324">
        <f>SUMIFS(Estimate!$S$187:$S$286,Estimate!$F$187:$F$286,'B&amp;G'!A19,Estimate!$E$187:$E$286,'B&amp;G'!B19)</f>
        <v>0</v>
      </c>
      <c r="D19" s="9">
        <v>32</v>
      </c>
      <c r="E19" s="137">
        <v>1.5</v>
      </c>
      <c r="F19" s="414">
        <v>10.129999999999999</v>
      </c>
      <c r="G19" s="414">
        <v>7.7</v>
      </c>
      <c r="H19" s="325">
        <f t="shared" ref="H19:H20" si="5">G19*1.2</f>
        <v>9.24</v>
      </c>
      <c r="I19" s="325">
        <v>127.85986111111112</v>
      </c>
      <c r="J19" s="326">
        <f t="shared" si="0"/>
        <v>423.53986111111112</v>
      </c>
      <c r="K19" s="327">
        <f t="shared" si="1"/>
        <v>0</v>
      </c>
      <c r="L19" s="328">
        <v>42093</v>
      </c>
      <c r="M19" s="333">
        <f t="shared" si="2"/>
        <v>0</v>
      </c>
      <c r="N19" s="334">
        <v>14.5</v>
      </c>
      <c r="O19" s="335">
        <f t="shared" si="4"/>
        <v>0</v>
      </c>
      <c r="P19" s="335">
        <f t="shared" si="3"/>
        <v>1.2</v>
      </c>
    </row>
    <row r="20" spans="1:16" ht="15" x14ac:dyDescent="0.25">
      <c r="A20" s="9">
        <v>150</v>
      </c>
      <c r="B20" s="9">
        <v>48</v>
      </c>
      <c r="C20" s="324">
        <f>SUMIFS(Estimate!$S$187:$S$286,Estimate!$F$187:$F$286,'B&amp;G'!A20,Estimate!$E$187:$E$286,'B&amp;G'!B20)</f>
        <v>0</v>
      </c>
      <c r="D20" s="9">
        <v>44</v>
      </c>
      <c r="E20" s="137">
        <v>1.5</v>
      </c>
      <c r="F20" s="414">
        <v>11.75</v>
      </c>
      <c r="G20" s="414">
        <v>8.51</v>
      </c>
      <c r="H20" s="325">
        <f t="shared" si="5"/>
        <v>10.212</v>
      </c>
      <c r="I20" s="325">
        <v>252.66666666666669</v>
      </c>
      <c r="J20" s="326">
        <f t="shared" si="0"/>
        <v>701.99466666666672</v>
      </c>
      <c r="K20" s="327">
        <f t="shared" si="1"/>
        <v>0</v>
      </c>
      <c r="L20" s="328">
        <v>42093</v>
      </c>
      <c r="M20" s="333">
        <f t="shared" si="2"/>
        <v>0</v>
      </c>
      <c r="N20" s="334">
        <v>18.100000000000001</v>
      </c>
      <c r="O20" s="335">
        <f t="shared" si="4"/>
        <v>0</v>
      </c>
      <c r="P20" s="335">
        <f t="shared" si="3"/>
        <v>1.2</v>
      </c>
    </row>
    <row r="21" spans="1:16" ht="15" x14ac:dyDescent="0.25">
      <c r="A21" s="9">
        <v>300</v>
      </c>
      <c r="B21" s="9">
        <v>0.5</v>
      </c>
      <c r="C21" s="324">
        <f>SUMIFS(Estimate!$S$187:$S$286,Estimate!$F$187:$F$286,'B&amp;G'!A21,Estimate!$E$187:$E$286,'B&amp;G'!B21)</f>
        <v>0</v>
      </c>
      <c r="D21" s="9">
        <v>8</v>
      </c>
      <c r="E21" s="137">
        <v>0.5</v>
      </c>
      <c r="F21" s="414">
        <v>2.75</v>
      </c>
      <c r="G21" s="414">
        <v>0.3</v>
      </c>
      <c r="H21" s="325">
        <v>0.38</v>
      </c>
      <c r="I21" s="325">
        <v>1.35</v>
      </c>
      <c r="J21" s="326">
        <f t="shared" si="0"/>
        <v>4.3900000000000006</v>
      </c>
      <c r="K21" s="327">
        <f t="shared" si="1"/>
        <v>0</v>
      </c>
      <c r="L21" s="328">
        <v>45402</v>
      </c>
      <c r="M21" s="333">
        <f t="shared" si="2"/>
        <v>0</v>
      </c>
      <c r="N21" s="334">
        <v>2.5</v>
      </c>
      <c r="O21" s="335">
        <f t="shared" si="4"/>
        <v>0</v>
      </c>
      <c r="P21" s="335">
        <f t="shared" si="3"/>
        <v>1.2666666666666668</v>
      </c>
    </row>
    <row r="22" spans="1:16" ht="15" x14ac:dyDescent="0.25">
      <c r="A22" s="9">
        <v>300</v>
      </c>
      <c r="B22" s="9">
        <v>0.75</v>
      </c>
      <c r="C22" s="324">
        <f>SUMIFS(Estimate!$S$187:$S$286,Estimate!$F$187:$F$286,'B&amp;G'!A22,Estimate!$E$187:$E$286,'B&amp;G'!B22)</f>
        <v>0</v>
      </c>
      <c r="D22" s="9">
        <v>8</v>
      </c>
      <c r="E22" s="137">
        <v>0.625</v>
      </c>
      <c r="F22" s="414">
        <v>3.25</v>
      </c>
      <c r="G22" s="414">
        <v>0.53</v>
      </c>
      <c r="H22" s="325">
        <v>0.63</v>
      </c>
      <c r="I22" s="325">
        <v>1.35</v>
      </c>
      <c r="J22" s="326">
        <f t="shared" si="0"/>
        <v>6.3900000000000006</v>
      </c>
      <c r="K22" s="327">
        <f t="shared" si="1"/>
        <v>0</v>
      </c>
      <c r="L22" s="328">
        <v>45383</v>
      </c>
      <c r="M22" s="333">
        <f t="shared" si="2"/>
        <v>0</v>
      </c>
      <c r="N22" s="334">
        <v>2.5</v>
      </c>
      <c r="O22" s="335">
        <f t="shared" si="4"/>
        <v>0</v>
      </c>
      <c r="P22" s="335">
        <f t="shared" si="3"/>
        <v>1.1886792452830188</v>
      </c>
    </row>
    <row r="23" spans="1:16" ht="15" x14ac:dyDescent="0.25">
      <c r="A23" s="9">
        <v>300</v>
      </c>
      <c r="B23" s="9">
        <v>1</v>
      </c>
      <c r="C23" s="324">
        <f>SUMIFS(Estimate!$S$187:$S$286,Estimate!$F$187:$F$286,'B&amp;G'!A23,Estimate!$E$187:$E$286,'B&amp;G'!B23)</f>
        <v>0</v>
      </c>
      <c r="D23" s="9">
        <v>8</v>
      </c>
      <c r="E23" s="137">
        <v>0.625</v>
      </c>
      <c r="F23" s="414">
        <v>3.25</v>
      </c>
      <c r="G23" s="414">
        <v>0.53</v>
      </c>
      <c r="H23" s="325">
        <v>0.63</v>
      </c>
      <c r="I23" s="325">
        <v>1.45</v>
      </c>
      <c r="J23" s="326">
        <f t="shared" si="0"/>
        <v>6.49</v>
      </c>
      <c r="K23" s="327">
        <f t="shared" si="1"/>
        <v>0</v>
      </c>
      <c r="L23" s="328">
        <v>45383</v>
      </c>
      <c r="M23" s="333">
        <f t="shared" si="2"/>
        <v>0</v>
      </c>
      <c r="N23" s="334">
        <v>2.5</v>
      </c>
      <c r="O23" s="335">
        <f t="shared" si="4"/>
        <v>0</v>
      </c>
      <c r="P23" s="335">
        <f t="shared" si="3"/>
        <v>1.1886792452830188</v>
      </c>
    </row>
    <row r="24" spans="1:16" ht="15" x14ac:dyDescent="0.25">
      <c r="A24" s="9">
        <v>300</v>
      </c>
      <c r="B24" s="9">
        <v>1.5</v>
      </c>
      <c r="C24" s="324">
        <f>SUMIFS(Estimate!$S$187:$S$286,Estimate!$F$187:$F$286,'B&amp;G'!A24,Estimate!$E$187:$E$286,'B&amp;G'!B24)</f>
        <v>0</v>
      </c>
      <c r="D24" s="9">
        <v>8</v>
      </c>
      <c r="E24" s="137">
        <v>0.75</v>
      </c>
      <c r="F24" s="414">
        <v>3.75</v>
      </c>
      <c r="G24" s="414">
        <v>0.87</v>
      </c>
      <c r="H24" s="325">
        <v>1.03</v>
      </c>
      <c r="I24" s="325">
        <v>1.95</v>
      </c>
      <c r="J24" s="326">
        <f t="shared" si="0"/>
        <v>10.19</v>
      </c>
      <c r="K24" s="327">
        <f t="shared" si="1"/>
        <v>0</v>
      </c>
      <c r="L24" s="328">
        <v>45383</v>
      </c>
      <c r="M24" s="333">
        <f t="shared" si="2"/>
        <v>0</v>
      </c>
      <c r="N24" s="334">
        <v>2.5</v>
      </c>
      <c r="O24" s="335">
        <f t="shared" si="4"/>
        <v>0</v>
      </c>
      <c r="P24" s="335">
        <f t="shared" si="3"/>
        <v>1.1839080459770115</v>
      </c>
    </row>
    <row r="25" spans="1:16" ht="15" x14ac:dyDescent="0.25">
      <c r="A25" s="9">
        <v>300</v>
      </c>
      <c r="B25" s="9">
        <v>2</v>
      </c>
      <c r="C25" s="324">
        <f>SUMIFS(Estimate!$S$187:$S$286,Estimate!$F$187:$F$286,'B&amp;G'!A25,Estimate!$E$187:$E$286,'B&amp;G'!B25)</f>
        <v>0</v>
      </c>
      <c r="D25" s="9">
        <v>8</v>
      </c>
      <c r="E25" s="137">
        <v>0.625</v>
      </c>
      <c r="F25" s="414">
        <v>3.75</v>
      </c>
      <c r="G25" s="414">
        <v>0.57000000000000006</v>
      </c>
      <c r="H25" s="325">
        <v>0.63</v>
      </c>
      <c r="I25" s="325">
        <v>2.2000000000000002</v>
      </c>
      <c r="J25" s="326">
        <f t="shared" si="0"/>
        <v>7.24</v>
      </c>
      <c r="K25" s="327">
        <f t="shared" si="1"/>
        <v>0</v>
      </c>
      <c r="L25" s="328">
        <v>45383</v>
      </c>
      <c r="M25" s="333">
        <f t="shared" si="2"/>
        <v>0</v>
      </c>
      <c r="N25" s="334">
        <v>2.5</v>
      </c>
      <c r="O25" s="335">
        <f t="shared" si="4"/>
        <v>0</v>
      </c>
      <c r="P25" s="335">
        <f t="shared" si="3"/>
        <v>1.1052631578947367</v>
      </c>
    </row>
    <row r="26" spans="1:16" ht="15" x14ac:dyDescent="0.25">
      <c r="A26" s="9">
        <v>300</v>
      </c>
      <c r="B26" s="9">
        <v>3</v>
      </c>
      <c r="C26" s="324">
        <f>SUMIFS(Estimate!$S$187:$S$286,Estimate!$F$187:$F$286,'B&amp;G'!A26,Estimate!$E$187:$E$286,'B&amp;G'!B26)</f>
        <v>0</v>
      </c>
      <c r="D26" s="9">
        <v>8</v>
      </c>
      <c r="E26" s="137">
        <v>0.75</v>
      </c>
      <c r="F26" s="414">
        <v>4.5</v>
      </c>
      <c r="G26" s="414">
        <v>0.97</v>
      </c>
      <c r="H26" s="325">
        <v>1.07</v>
      </c>
      <c r="I26" s="325">
        <v>4.2</v>
      </c>
      <c r="J26" s="326">
        <f t="shared" si="0"/>
        <v>12.760000000000002</v>
      </c>
      <c r="K26" s="327">
        <f t="shared" si="1"/>
        <v>0</v>
      </c>
      <c r="L26" s="328">
        <v>45383</v>
      </c>
      <c r="M26" s="333">
        <f t="shared" si="2"/>
        <v>0</v>
      </c>
      <c r="N26" s="334">
        <v>2.5</v>
      </c>
      <c r="O26" s="335">
        <f t="shared" si="4"/>
        <v>0</v>
      </c>
      <c r="P26" s="335">
        <f t="shared" si="3"/>
        <v>1.1030927835051547</v>
      </c>
    </row>
    <row r="27" spans="1:16" ht="15" x14ac:dyDescent="0.25">
      <c r="A27" s="9">
        <v>300</v>
      </c>
      <c r="B27" s="9">
        <v>4</v>
      </c>
      <c r="C27" s="324">
        <f>SUMIFS(Estimate!$S$187:$S$286,Estimate!$F$187:$F$286,'B&amp;G'!A27,Estimate!$E$187:$E$286,'B&amp;G'!B27)</f>
        <v>0</v>
      </c>
      <c r="D27" s="9">
        <v>8</v>
      </c>
      <c r="E27" s="137">
        <v>0.75</v>
      </c>
      <c r="F27" s="414">
        <v>4.75</v>
      </c>
      <c r="G27" s="414">
        <v>1</v>
      </c>
      <c r="H27" s="325">
        <v>1.1000000000000001</v>
      </c>
      <c r="I27" s="325">
        <v>5.4</v>
      </c>
      <c r="J27" s="326">
        <f t="shared" si="0"/>
        <v>14.200000000000001</v>
      </c>
      <c r="K27" s="327">
        <f t="shared" si="1"/>
        <v>0</v>
      </c>
      <c r="L27" s="328">
        <v>45383</v>
      </c>
      <c r="M27" s="333">
        <f t="shared" si="2"/>
        <v>0</v>
      </c>
      <c r="N27" s="334">
        <v>2.5</v>
      </c>
      <c r="O27" s="335">
        <f t="shared" si="4"/>
        <v>0</v>
      </c>
      <c r="P27" s="335">
        <f t="shared" si="3"/>
        <v>1.1000000000000001</v>
      </c>
    </row>
    <row r="28" spans="1:16" ht="15" x14ac:dyDescent="0.25">
      <c r="A28" s="9">
        <v>300</v>
      </c>
      <c r="B28" s="9">
        <v>6</v>
      </c>
      <c r="C28" s="324">
        <f>SUMIFS(Estimate!$S$187:$S$286,Estimate!$F$187:$F$286,'B&amp;G'!A28,Estimate!$E$187:$E$286,'B&amp;G'!B28)</f>
        <v>0</v>
      </c>
      <c r="D28" s="9">
        <v>12</v>
      </c>
      <c r="E28" s="137">
        <v>0.75</v>
      </c>
      <c r="F28" s="414">
        <v>5</v>
      </c>
      <c r="G28" s="414">
        <v>1.03</v>
      </c>
      <c r="H28" s="325">
        <v>1.1299999999999999</v>
      </c>
      <c r="I28" s="325">
        <v>8.1999999999999993</v>
      </c>
      <c r="J28" s="326">
        <f t="shared" si="0"/>
        <v>21.759999999999998</v>
      </c>
      <c r="K28" s="327">
        <f t="shared" si="1"/>
        <v>0</v>
      </c>
      <c r="L28" s="328">
        <v>45383</v>
      </c>
      <c r="M28" s="333">
        <f t="shared" si="2"/>
        <v>0</v>
      </c>
      <c r="N28" s="334">
        <v>4.8999999999999995</v>
      </c>
      <c r="O28" s="335">
        <f t="shared" si="4"/>
        <v>0</v>
      </c>
      <c r="P28" s="335">
        <f t="shared" si="3"/>
        <v>1.0970873786407767</v>
      </c>
    </row>
    <row r="29" spans="1:16" ht="15" x14ac:dyDescent="0.25">
      <c r="A29" s="9">
        <v>300</v>
      </c>
      <c r="B29" s="9">
        <v>8</v>
      </c>
      <c r="C29" s="324">
        <f>SUMIFS(Estimate!$S$187:$S$286,Estimate!$F$187:$F$286,'B&amp;G'!A29,Estimate!$E$187:$E$286,'B&amp;G'!B29)</f>
        <v>0</v>
      </c>
      <c r="D29" s="9">
        <v>12</v>
      </c>
      <c r="E29" s="137">
        <v>0.875</v>
      </c>
      <c r="F29" s="414">
        <v>5.75</v>
      </c>
      <c r="G29" s="414">
        <v>1.59</v>
      </c>
      <c r="H29" s="325">
        <v>1.82</v>
      </c>
      <c r="I29" s="325">
        <v>13.15</v>
      </c>
      <c r="J29" s="326">
        <f t="shared" si="0"/>
        <v>34.99</v>
      </c>
      <c r="K29" s="327">
        <f t="shared" si="1"/>
        <v>0</v>
      </c>
      <c r="L29" s="328">
        <v>45383</v>
      </c>
      <c r="M29" s="333">
        <f t="shared" si="2"/>
        <v>0</v>
      </c>
      <c r="N29" s="334">
        <v>4.8999999999999995</v>
      </c>
      <c r="O29" s="335">
        <f t="shared" si="4"/>
        <v>0</v>
      </c>
      <c r="P29" s="335">
        <f t="shared" si="3"/>
        <v>1.1446540880503144</v>
      </c>
    </row>
    <row r="30" spans="1:16" ht="15" x14ac:dyDescent="0.25">
      <c r="A30" s="9">
        <v>300</v>
      </c>
      <c r="B30" s="9">
        <v>10</v>
      </c>
      <c r="C30" s="324">
        <f>SUMIFS(Estimate!$S$187:$S$286,Estimate!$F$187:$F$286,'B&amp;G'!A30,Estimate!$E$187:$E$286,'B&amp;G'!B30)</f>
        <v>0</v>
      </c>
      <c r="D30" s="9">
        <v>16</v>
      </c>
      <c r="E30" s="137">
        <v>1</v>
      </c>
      <c r="F30" s="414">
        <v>6.5</v>
      </c>
      <c r="G30" s="414">
        <v>2.3099999999999996</v>
      </c>
      <c r="H30" s="325">
        <v>2.7</v>
      </c>
      <c r="I30" s="325">
        <v>17.5</v>
      </c>
      <c r="J30" s="326">
        <f t="shared" si="0"/>
        <v>60.7</v>
      </c>
      <c r="K30" s="327">
        <f t="shared" si="1"/>
        <v>0</v>
      </c>
      <c r="L30" s="328">
        <v>45383</v>
      </c>
      <c r="M30" s="333">
        <f t="shared" si="2"/>
        <v>0</v>
      </c>
      <c r="N30" s="334">
        <v>4.8999999999999995</v>
      </c>
      <c r="O30" s="335">
        <f t="shared" si="4"/>
        <v>0</v>
      </c>
      <c r="P30" s="335">
        <f t="shared" si="3"/>
        <v>1.168831168831169</v>
      </c>
    </row>
    <row r="31" spans="1:16" ht="15" x14ac:dyDescent="0.25">
      <c r="A31" s="9">
        <v>300</v>
      </c>
      <c r="B31" s="9">
        <v>12</v>
      </c>
      <c r="C31" s="324">
        <f>SUMIFS(Estimate!$S$187:$S$286,Estimate!$F$187:$F$286,'B&amp;G'!A31,Estimate!$E$187:$E$286,'B&amp;G'!B31)</f>
        <v>0</v>
      </c>
      <c r="D31" s="9">
        <v>16</v>
      </c>
      <c r="E31" s="137">
        <v>1.125</v>
      </c>
      <c r="F31" s="414">
        <v>7</v>
      </c>
      <c r="G31" s="414">
        <v>3.1599999999999997</v>
      </c>
      <c r="H31" s="325">
        <v>3.6</v>
      </c>
      <c r="I31" s="325">
        <v>22.15</v>
      </c>
      <c r="J31" s="326">
        <f t="shared" si="0"/>
        <v>79.75</v>
      </c>
      <c r="K31" s="327">
        <f t="shared" si="1"/>
        <v>0</v>
      </c>
      <c r="L31" s="328">
        <v>45402</v>
      </c>
      <c r="M31" s="333">
        <f t="shared" si="2"/>
        <v>0</v>
      </c>
      <c r="N31" s="334">
        <v>7.3</v>
      </c>
      <c r="O31" s="335">
        <f t="shared" si="4"/>
        <v>0</v>
      </c>
      <c r="P31" s="335">
        <f t="shared" si="3"/>
        <v>1.139240506329114</v>
      </c>
    </row>
    <row r="32" spans="1:16" ht="15" x14ac:dyDescent="0.25">
      <c r="A32" s="9">
        <v>300</v>
      </c>
      <c r="B32" s="9">
        <v>14</v>
      </c>
      <c r="C32" s="324">
        <f>SUMIFS(Estimate!$S$187:$S$286,Estimate!$F$187:$F$286,'B&amp;G'!A32,Estimate!$E$187:$E$286,'B&amp;G'!B32)</f>
        <v>0</v>
      </c>
      <c r="D32" s="9">
        <v>20</v>
      </c>
      <c r="E32" s="137">
        <v>1.125</v>
      </c>
      <c r="F32" s="414">
        <v>7.25</v>
      </c>
      <c r="G32" s="414">
        <v>3.23</v>
      </c>
      <c r="H32" s="325">
        <v>3.73</v>
      </c>
      <c r="I32" s="325">
        <v>25.45</v>
      </c>
      <c r="J32" s="326">
        <f t="shared" si="0"/>
        <v>100.05</v>
      </c>
      <c r="K32" s="327">
        <f t="shared" si="1"/>
        <v>0</v>
      </c>
      <c r="L32" s="328">
        <v>45402</v>
      </c>
      <c r="M32" s="333">
        <f t="shared" si="2"/>
        <v>0</v>
      </c>
      <c r="N32" s="334">
        <v>7.3</v>
      </c>
      <c r="O32" s="335">
        <f t="shared" si="4"/>
        <v>0</v>
      </c>
      <c r="P32" s="335">
        <f t="shared" si="3"/>
        <v>1.1547987616099071</v>
      </c>
    </row>
    <row r="33" spans="1:16" ht="15" x14ac:dyDescent="0.25">
      <c r="A33" s="9">
        <v>300</v>
      </c>
      <c r="B33" s="9">
        <v>16</v>
      </c>
      <c r="C33" s="324">
        <f>SUMIFS(Estimate!$S$187:$S$286,Estimate!$F$187:$F$286,'B&amp;G'!A33,Estimate!$E$187:$E$286,'B&amp;G'!B33)</f>
        <v>0</v>
      </c>
      <c r="D33" s="9">
        <v>20</v>
      </c>
      <c r="E33" s="137">
        <v>1.25</v>
      </c>
      <c r="F33" s="414">
        <v>7.75</v>
      </c>
      <c r="G33" s="414">
        <v>4.2799999999999994</v>
      </c>
      <c r="H33" s="325">
        <v>4.78</v>
      </c>
      <c r="I33" s="325">
        <v>31.1</v>
      </c>
      <c r="J33" s="326">
        <f t="shared" si="0"/>
        <v>126.70000000000002</v>
      </c>
      <c r="K33" s="327">
        <f t="shared" si="1"/>
        <v>0</v>
      </c>
      <c r="L33" s="328">
        <v>45383</v>
      </c>
      <c r="M33" s="333">
        <f t="shared" si="2"/>
        <v>0</v>
      </c>
      <c r="N33" s="334">
        <v>7.8999999999999995</v>
      </c>
      <c r="O33" s="335">
        <f t="shared" si="4"/>
        <v>0</v>
      </c>
      <c r="P33" s="335">
        <f t="shared" si="3"/>
        <v>1.1168224299065423</v>
      </c>
    </row>
    <row r="34" spans="1:16" ht="15" x14ac:dyDescent="0.25">
      <c r="A34" s="9">
        <v>300</v>
      </c>
      <c r="B34" s="9">
        <v>18</v>
      </c>
      <c r="C34" s="324">
        <f>SUMIFS(Estimate!$S$187:$S$286,Estimate!$F$187:$F$286,'B&amp;G'!A34,Estimate!$E$187:$E$286,'B&amp;G'!B34)</f>
        <v>0</v>
      </c>
      <c r="D34" s="9">
        <v>24</v>
      </c>
      <c r="E34" s="137">
        <v>1.25</v>
      </c>
      <c r="F34" s="414">
        <v>8</v>
      </c>
      <c r="G34" s="414">
        <v>4.37</v>
      </c>
      <c r="H34" s="325">
        <v>4.78</v>
      </c>
      <c r="I34" s="325">
        <v>38.25</v>
      </c>
      <c r="J34" s="326">
        <f t="shared" ref="J34:J65" si="6">D34*H34+I34</f>
        <v>152.97</v>
      </c>
      <c r="K34" s="327">
        <f t="shared" ref="K34:K65" si="7">J34*C34</f>
        <v>0</v>
      </c>
      <c r="L34" s="328">
        <v>45383</v>
      </c>
      <c r="M34" s="333">
        <f t="shared" ref="M34:M65" si="8">IF(E34&gt;=$D$107,C34,0)</f>
        <v>0</v>
      </c>
      <c r="N34" s="334">
        <v>8.9</v>
      </c>
      <c r="O34" s="335">
        <f t="shared" si="4"/>
        <v>0</v>
      </c>
      <c r="P34" s="335">
        <f t="shared" ref="P34:P65" si="9">H34/G34</f>
        <v>1.0938215102974829</v>
      </c>
    </row>
    <row r="35" spans="1:16" ht="15" x14ac:dyDescent="0.25">
      <c r="A35" s="9">
        <v>300</v>
      </c>
      <c r="B35" s="9">
        <v>20</v>
      </c>
      <c r="C35" s="324">
        <f>SUMIFS(Estimate!$S$187:$S$286,Estimate!$F$187:$F$286,'B&amp;G'!A35,Estimate!$E$187:$E$286,'B&amp;G'!B35)</f>
        <v>0</v>
      </c>
      <c r="D35" s="9">
        <v>24</v>
      </c>
      <c r="E35" s="137">
        <v>1.25</v>
      </c>
      <c r="F35" s="414">
        <v>8.25</v>
      </c>
      <c r="G35" s="414">
        <v>4.46</v>
      </c>
      <c r="H35" s="325">
        <v>4.78</v>
      </c>
      <c r="I35" s="325">
        <v>42.2</v>
      </c>
      <c r="J35" s="326">
        <f t="shared" si="6"/>
        <v>156.92000000000002</v>
      </c>
      <c r="K35" s="327">
        <f t="shared" si="7"/>
        <v>0</v>
      </c>
      <c r="L35" s="328">
        <v>45383</v>
      </c>
      <c r="M35" s="333">
        <f t="shared" si="8"/>
        <v>0</v>
      </c>
      <c r="N35" s="334">
        <v>8.9</v>
      </c>
      <c r="O35" s="335">
        <f t="shared" si="4"/>
        <v>0</v>
      </c>
      <c r="P35" s="335">
        <f t="shared" si="9"/>
        <v>1.0717488789237668</v>
      </c>
    </row>
    <row r="36" spans="1:16" ht="15" x14ac:dyDescent="0.25">
      <c r="A36" s="9">
        <v>300</v>
      </c>
      <c r="B36" s="9">
        <v>24</v>
      </c>
      <c r="C36" s="324">
        <f>SUMIFS(Estimate!$S$187:$S$286,Estimate!$F$187:$F$286,'B&amp;G'!A36,Estimate!$E$187:$E$286,'B&amp;G'!B36)</f>
        <v>0</v>
      </c>
      <c r="D36" s="9">
        <v>24</v>
      </c>
      <c r="E36" s="137">
        <v>1.5</v>
      </c>
      <c r="F36" s="414">
        <v>9.25</v>
      </c>
      <c r="G36" s="414">
        <v>7.26</v>
      </c>
      <c r="H36" s="325">
        <v>10.95</v>
      </c>
      <c r="I36" s="325">
        <v>54.4</v>
      </c>
      <c r="J36" s="326">
        <f t="shared" si="6"/>
        <v>317.19999999999993</v>
      </c>
      <c r="K36" s="327">
        <f t="shared" si="7"/>
        <v>0</v>
      </c>
      <c r="L36" s="328">
        <v>45383</v>
      </c>
      <c r="M36" s="333">
        <f t="shared" si="8"/>
        <v>0</v>
      </c>
      <c r="N36" s="334">
        <v>10.1</v>
      </c>
      <c r="O36" s="335">
        <f t="shared" si="4"/>
        <v>0</v>
      </c>
      <c r="P36" s="335">
        <f t="shared" si="9"/>
        <v>1.5082644628099173</v>
      </c>
    </row>
    <row r="37" spans="1:16" ht="15" x14ac:dyDescent="0.25">
      <c r="A37" s="9">
        <v>300</v>
      </c>
      <c r="B37" s="9">
        <v>30</v>
      </c>
      <c r="C37" s="324">
        <f>SUMIFS(Estimate!$S$187:$S$286,Estimate!$F$187:$F$286,'B&amp;G'!A37,Estimate!$E$187:$E$286,'B&amp;G'!B37)</f>
        <v>0</v>
      </c>
      <c r="D37" s="9">
        <v>28</v>
      </c>
      <c r="E37" s="137">
        <v>1.75</v>
      </c>
      <c r="F37" s="414">
        <v>11.49</v>
      </c>
      <c r="G37" s="414">
        <v>11.92</v>
      </c>
      <c r="H37" s="325">
        <f t="shared" ref="H37:H39" si="10">G37*1.2</f>
        <v>14.304</v>
      </c>
      <c r="I37" s="325">
        <v>192.6</v>
      </c>
      <c r="J37" s="326">
        <f t="shared" si="6"/>
        <v>593.11199999999997</v>
      </c>
      <c r="K37" s="327">
        <f t="shared" si="7"/>
        <v>0</v>
      </c>
      <c r="L37" s="328">
        <v>45383</v>
      </c>
      <c r="M37" s="333">
        <f t="shared" si="8"/>
        <v>0</v>
      </c>
      <c r="N37" s="334">
        <v>12.6</v>
      </c>
      <c r="O37" s="335">
        <f t="shared" si="4"/>
        <v>0</v>
      </c>
      <c r="P37" s="335">
        <f t="shared" si="9"/>
        <v>1.2</v>
      </c>
    </row>
    <row r="38" spans="1:16" ht="15" x14ac:dyDescent="0.25">
      <c r="A38" s="9">
        <v>300</v>
      </c>
      <c r="B38" s="9">
        <v>36</v>
      </c>
      <c r="C38" s="324">
        <f>SUMIFS(Estimate!$S$187:$S$286,Estimate!$F$187:$F$286,'B&amp;G'!A38,Estimate!$E$187:$E$286,'B&amp;G'!B38)</f>
        <v>0</v>
      </c>
      <c r="D38" s="9">
        <v>32</v>
      </c>
      <c r="E38" s="137">
        <v>2</v>
      </c>
      <c r="F38" s="414">
        <v>12.99</v>
      </c>
      <c r="G38" s="414">
        <v>17.560000000000002</v>
      </c>
      <c r="H38" s="325">
        <f t="shared" si="10"/>
        <v>21.072000000000003</v>
      </c>
      <c r="I38" s="325">
        <v>230</v>
      </c>
      <c r="J38" s="326">
        <f t="shared" si="6"/>
        <v>904.30400000000009</v>
      </c>
      <c r="K38" s="327">
        <f t="shared" si="7"/>
        <v>0</v>
      </c>
      <c r="L38" s="328">
        <v>45402</v>
      </c>
      <c r="M38" s="333">
        <f t="shared" si="8"/>
        <v>0</v>
      </c>
      <c r="N38" s="334">
        <v>15.1</v>
      </c>
      <c r="O38" s="335">
        <f t="shared" si="4"/>
        <v>0</v>
      </c>
      <c r="P38" s="335">
        <f t="shared" si="9"/>
        <v>1.2</v>
      </c>
    </row>
    <row r="39" spans="1:16" ht="15" x14ac:dyDescent="0.25">
      <c r="A39" s="9">
        <v>300</v>
      </c>
      <c r="B39" s="9">
        <v>48</v>
      </c>
      <c r="C39" s="324">
        <f>SUMIFS(Estimate!$S$187:$S$286,Estimate!$F$187:$F$286,'B&amp;G'!A39,Estimate!$E$187:$E$286,'B&amp;G'!B39)</f>
        <v>0</v>
      </c>
      <c r="D39" s="9">
        <v>32</v>
      </c>
      <c r="E39" s="137">
        <v>1.875</v>
      </c>
      <c r="F39" s="414">
        <v>15</v>
      </c>
      <c r="G39" s="414">
        <v>16.57</v>
      </c>
      <c r="H39" s="325">
        <f t="shared" si="10"/>
        <v>19.884</v>
      </c>
      <c r="I39" s="325">
        <v>400</v>
      </c>
      <c r="J39" s="326">
        <f t="shared" si="6"/>
        <v>1036.288</v>
      </c>
      <c r="K39" s="327">
        <f t="shared" si="7"/>
        <v>0</v>
      </c>
      <c r="L39" s="328">
        <v>42093</v>
      </c>
      <c r="M39" s="333">
        <f t="shared" si="8"/>
        <v>0</v>
      </c>
      <c r="N39" s="334">
        <v>14.5</v>
      </c>
      <c r="O39" s="335">
        <f t="shared" si="4"/>
        <v>0</v>
      </c>
      <c r="P39" s="335">
        <f t="shared" si="9"/>
        <v>1.2</v>
      </c>
    </row>
    <row r="40" spans="1:16" ht="15" x14ac:dyDescent="0.25">
      <c r="A40" s="9">
        <v>600</v>
      </c>
      <c r="B40" s="9">
        <v>0.5</v>
      </c>
      <c r="C40" s="324">
        <f>SUMIFS(Estimate!$S$187:$S$286,Estimate!$F$187:$F$286,'B&amp;G'!A40,Estimate!$E$187:$E$286,'B&amp;G'!B40)</f>
        <v>0</v>
      </c>
      <c r="D40" s="9">
        <v>8</v>
      </c>
      <c r="E40" s="137">
        <v>0.5</v>
      </c>
      <c r="F40" s="414">
        <v>3.25</v>
      </c>
      <c r="G40" s="414">
        <v>0.33</v>
      </c>
      <c r="H40" s="325">
        <v>0.38</v>
      </c>
      <c r="I40" s="325">
        <v>1.45</v>
      </c>
      <c r="J40" s="326">
        <f t="shared" si="6"/>
        <v>4.49</v>
      </c>
      <c r="K40" s="327">
        <f t="shared" si="7"/>
        <v>0</v>
      </c>
      <c r="L40" s="328">
        <v>42093</v>
      </c>
      <c r="M40" s="333">
        <f t="shared" si="8"/>
        <v>0</v>
      </c>
      <c r="N40" s="334">
        <v>2.5</v>
      </c>
      <c r="O40" s="335">
        <f t="shared" si="4"/>
        <v>0</v>
      </c>
      <c r="P40" s="335">
        <f t="shared" si="9"/>
        <v>1.1515151515151514</v>
      </c>
    </row>
    <row r="41" spans="1:16" ht="15" x14ac:dyDescent="0.25">
      <c r="A41" s="9">
        <v>600</v>
      </c>
      <c r="B41" s="9">
        <v>0.75</v>
      </c>
      <c r="C41" s="324">
        <f>SUMIFS(Estimate!$S$187:$S$286,Estimate!$F$187:$F$286,'B&amp;G'!A41,Estimate!$E$187:$E$286,'B&amp;G'!B41)</f>
        <v>0</v>
      </c>
      <c r="D41" s="9">
        <v>8</v>
      </c>
      <c r="E41" s="137">
        <v>0.625</v>
      </c>
      <c r="F41" s="414">
        <v>3.75</v>
      </c>
      <c r="G41" s="414">
        <v>0.57000000000000006</v>
      </c>
      <c r="H41" s="325">
        <v>0.63</v>
      </c>
      <c r="I41" s="325">
        <v>1.35</v>
      </c>
      <c r="J41" s="326">
        <f t="shared" si="6"/>
        <v>6.3900000000000006</v>
      </c>
      <c r="K41" s="327">
        <f t="shared" si="7"/>
        <v>0</v>
      </c>
      <c r="L41" s="328">
        <v>45402</v>
      </c>
      <c r="M41" s="333">
        <f t="shared" si="8"/>
        <v>0</v>
      </c>
      <c r="N41" s="334">
        <v>2.5</v>
      </c>
      <c r="O41" s="335">
        <f t="shared" si="4"/>
        <v>0</v>
      </c>
      <c r="P41" s="335">
        <f t="shared" si="9"/>
        <v>1.1052631578947367</v>
      </c>
    </row>
    <row r="42" spans="1:16" ht="15" x14ac:dyDescent="0.25">
      <c r="A42" s="9">
        <v>600</v>
      </c>
      <c r="B42" s="9">
        <v>1</v>
      </c>
      <c r="C42" s="324">
        <f>SUMIFS(Estimate!$S$187:$S$286,Estimate!$F$187:$F$286,'B&amp;G'!A42,Estimate!$E$187:$E$286,'B&amp;G'!B42)</f>
        <v>0</v>
      </c>
      <c r="D42" s="9">
        <v>8</v>
      </c>
      <c r="E42" s="137">
        <v>0.625</v>
      </c>
      <c r="F42" s="414">
        <v>3.75</v>
      </c>
      <c r="G42" s="414">
        <v>0.57000000000000006</v>
      </c>
      <c r="H42" s="325">
        <v>0.63</v>
      </c>
      <c r="I42" s="325">
        <v>1.45</v>
      </c>
      <c r="J42" s="326">
        <f t="shared" si="6"/>
        <v>6.49</v>
      </c>
      <c r="K42" s="327">
        <f t="shared" si="7"/>
        <v>0</v>
      </c>
      <c r="L42" s="328">
        <v>45383</v>
      </c>
      <c r="M42" s="333">
        <f t="shared" si="8"/>
        <v>0</v>
      </c>
      <c r="N42" s="334">
        <v>2.5</v>
      </c>
      <c r="O42" s="335">
        <f t="shared" si="4"/>
        <v>0</v>
      </c>
      <c r="P42" s="335">
        <f t="shared" si="9"/>
        <v>1.1052631578947367</v>
      </c>
    </row>
    <row r="43" spans="1:16" ht="15" x14ac:dyDescent="0.25">
      <c r="A43" s="9">
        <v>600</v>
      </c>
      <c r="B43" s="9">
        <v>1.5</v>
      </c>
      <c r="C43" s="324">
        <f>SUMIFS(Estimate!$S$187:$S$286,Estimate!$F$187:$F$286,'B&amp;G'!A43,Estimate!$E$187:$E$286,'B&amp;G'!B43)</f>
        <v>0</v>
      </c>
      <c r="D43" s="9">
        <v>8</v>
      </c>
      <c r="E43" s="137">
        <v>0.75</v>
      </c>
      <c r="F43" s="414">
        <v>4.5</v>
      </c>
      <c r="G43" s="414">
        <v>0.97</v>
      </c>
      <c r="H43" s="325">
        <v>1.07</v>
      </c>
      <c r="I43" s="325">
        <v>1.95</v>
      </c>
      <c r="J43" s="326">
        <f t="shared" si="6"/>
        <v>10.51</v>
      </c>
      <c r="K43" s="327">
        <f t="shared" si="7"/>
        <v>0</v>
      </c>
      <c r="L43" s="328">
        <v>45402</v>
      </c>
      <c r="M43" s="333">
        <f t="shared" si="8"/>
        <v>0</v>
      </c>
      <c r="N43" s="334">
        <v>2.5</v>
      </c>
      <c r="O43" s="335">
        <f t="shared" si="4"/>
        <v>0</v>
      </c>
      <c r="P43" s="335">
        <f t="shared" si="9"/>
        <v>1.1030927835051547</v>
      </c>
    </row>
    <row r="44" spans="1:16" ht="15" x14ac:dyDescent="0.25">
      <c r="A44" s="9">
        <v>600</v>
      </c>
      <c r="B44" s="9">
        <v>2</v>
      </c>
      <c r="C44" s="324">
        <f>SUMIFS(Estimate!$S$187:$S$286,Estimate!$F$187:$F$286,'B&amp;G'!A44,Estimate!$E$187:$E$286,'B&amp;G'!B44)</f>
        <v>0</v>
      </c>
      <c r="D44" s="9">
        <v>8</v>
      </c>
      <c r="E44" s="137">
        <v>0.625</v>
      </c>
      <c r="F44" s="414">
        <v>4.5</v>
      </c>
      <c r="G44" s="414">
        <v>0.64</v>
      </c>
      <c r="H44" s="325">
        <v>0.7</v>
      </c>
      <c r="I44" s="325">
        <v>2.2000000000000002</v>
      </c>
      <c r="J44" s="326">
        <f t="shared" si="6"/>
        <v>7.8</v>
      </c>
      <c r="K44" s="327">
        <f t="shared" si="7"/>
        <v>0</v>
      </c>
      <c r="L44" s="328">
        <v>45383</v>
      </c>
      <c r="M44" s="333">
        <f t="shared" si="8"/>
        <v>0</v>
      </c>
      <c r="N44" s="334">
        <v>2.5</v>
      </c>
      <c r="O44" s="335">
        <f t="shared" si="4"/>
        <v>0</v>
      </c>
      <c r="P44" s="335">
        <f t="shared" si="9"/>
        <v>1.09375</v>
      </c>
    </row>
    <row r="45" spans="1:16" ht="15" x14ac:dyDescent="0.25">
      <c r="A45" s="9">
        <v>600</v>
      </c>
      <c r="B45" s="9">
        <v>3</v>
      </c>
      <c r="C45" s="324">
        <f>SUMIFS(Estimate!$S$187:$S$286,Estimate!$F$187:$F$286,'B&amp;G'!A45,Estimate!$E$187:$E$286,'B&amp;G'!B45)</f>
        <v>0</v>
      </c>
      <c r="D45" s="9">
        <v>8</v>
      </c>
      <c r="E45" s="137">
        <v>0.75</v>
      </c>
      <c r="F45" s="414">
        <v>5.25</v>
      </c>
      <c r="G45" s="414">
        <v>1.06</v>
      </c>
      <c r="H45" s="325">
        <v>1.18</v>
      </c>
      <c r="I45" s="325">
        <v>4.2</v>
      </c>
      <c r="J45" s="326">
        <f t="shared" si="6"/>
        <v>13.64</v>
      </c>
      <c r="K45" s="327">
        <f t="shared" si="7"/>
        <v>0</v>
      </c>
      <c r="L45" s="328">
        <v>45383</v>
      </c>
      <c r="M45" s="333">
        <f t="shared" si="8"/>
        <v>0</v>
      </c>
      <c r="N45" s="334">
        <v>2.5</v>
      </c>
      <c r="O45" s="335">
        <f t="shared" si="4"/>
        <v>0</v>
      </c>
      <c r="P45" s="335">
        <f t="shared" si="9"/>
        <v>1.1132075471698113</v>
      </c>
    </row>
    <row r="46" spans="1:16" ht="15" x14ac:dyDescent="0.25">
      <c r="A46" s="9">
        <v>600</v>
      </c>
      <c r="B46" s="9">
        <v>4</v>
      </c>
      <c r="C46" s="324">
        <f>SUMIFS(Estimate!$S$187:$S$286,Estimate!$F$187:$F$286,'B&amp;G'!A46,Estimate!$E$187:$E$286,'B&amp;G'!B46)</f>
        <v>0</v>
      </c>
      <c r="D46" s="9">
        <v>8</v>
      </c>
      <c r="E46" s="137">
        <v>0.75</v>
      </c>
      <c r="F46" s="414">
        <v>6</v>
      </c>
      <c r="G46" s="414">
        <v>1.1599999999999999</v>
      </c>
      <c r="H46" s="325">
        <v>1.82</v>
      </c>
      <c r="I46" s="325">
        <v>5.9</v>
      </c>
      <c r="J46" s="326">
        <f t="shared" si="6"/>
        <v>20.46</v>
      </c>
      <c r="K46" s="327">
        <f t="shared" si="7"/>
        <v>0</v>
      </c>
      <c r="L46" s="328">
        <v>45402</v>
      </c>
      <c r="M46" s="333">
        <f t="shared" si="8"/>
        <v>0</v>
      </c>
      <c r="N46" s="334">
        <v>2.5</v>
      </c>
      <c r="O46" s="335">
        <f t="shared" si="4"/>
        <v>0</v>
      </c>
      <c r="P46" s="335">
        <f t="shared" si="9"/>
        <v>1.5689655172413794</v>
      </c>
    </row>
    <row r="47" spans="1:16" ht="15" x14ac:dyDescent="0.25">
      <c r="A47" s="9">
        <v>600</v>
      </c>
      <c r="B47" s="9">
        <v>6</v>
      </c>
      <c r="C47" s="324">
        <f>SUMIFS(Estimate!$S$187:$S$286,Estimate!$F$187:$F$286,'B&amp;G'!A47,Estimate!$E$187:$E$286,'B&amp;G'!B47)</f>
        <v>0</v>
      </c>
      <c r="D47" s="9">
        <v>12</v>
      </c>
      <c r="E47" s="137">
        <v>0.75</v>
      </c>
      <c r="F47" s="414">
        <v>7</v>
      </c>
      <c r="G47" s="414">
        <v>1.28</v>
      </c>
      <c r="H47" s="325">
        <f>G47*1.25</f>
        <v>1.6</v>
      </c>
      <c r="I47" s="325">
        <v>9</v>
      </c>
      <c r="J47" s="326">
        <f t="shared" si="6"/>
        <v>28.200000000000003</v>
      </c>
      <c r="K47" s="327">
        <f t="shared" si="7"/>
        <v>0</v>
      </c>
      <c r="L47" s="328">
        <v>45402</v>
      </c>
      <c r="M47" s="333">
        <f t="shared" si="8"/>
        <v>0</v>
      </c>
      <c r="N47" s="334">
        <v>4.8999999999999995</v>
      </c>
      <c r="O47" s="335">
        <f t="shared" si="4"/>
        <v>0</v>
      </c>
      <c r="P47" s="335">
        <f t="shared" si="9"/>
        <v>1.25</v>
      </c>
    </row>
    <row r="48" spans="1:16" ht="15" x14ac:dyDescent="0.25">
      <c r="A48" s="9">
        <v>600</v>
      </c>
      <c r="B48" s="9">
        <v>8</v>
      </c>
      <c r="C48" s="324">
        <f>SUMIFS(Estimate!$S$187:$S$286,Estimate!$F$187:$F$286,'B&amp;G'!A48,Estimate!$E$187:$E$286,'B&amp;G'!B48)</f>
        <v>0</v>
      </c>
      <c r="D48" s="9">
        <v>12</v>
      </c>
      <c r="E48" s="137">
        <v>0.875</v>
      </c>
      <c r="F48" s="414">
        <v>7.75</v>
      </c>
      <c r="G48" s="414">
        <v>1.93</v>
      </c>
      <c r="H48" s="325">
        <v>3.6</v>
      </c>
      <c r="I48" s="325">
        <v>14.15</v>
      </c>
      <c r="J48" s="326">
        <f t="shared" si="6"/>
        <v>57.35</v>
      </c>
      <c r="K48" s="327">
        <f t="shared" si="7"/>
        <v>0</v>
      </c>
      <c r="L48" s="328">
        <v>45402</v>
      </c>
      <c r="M48" s="333">
        <f t="shared" si="8"/>
        <v>0</v>
      </c>
      <c r="N48" s="334">
        <v>4.8999999999999995</v>
      </c>
      <c r="O48" s="335">
        <f t="shared" si="4"/>
        <v>0</v>
      </c>
      <c r="P48" s="335">
        <f t="shared" si="9"/>
        <v>1.8652849740932644</v>
      </c>
    </row>
    <row r="49" spans="1:16" ht="15" x14ac:dyDescent="0.25">
      <c r="A49" s="9">
        <v>600</v>
      </c>
      <c r="B49" s="9">
        <v>10</v>
      </c>
      <c r="C49" s="324">
        <f>SUMIFS(Estimate!$S$187:$S$286,Estimate!$F$187:$F$286,'B&amp;G'!A49,Estimate!$E$187:$E$286,'B&amp;G'!B49)</f>
        <v>0</v>
      </c>
      <c r="D49" s="9">
        <v>16</v>
      </c>
      <c r="E49" s="137">
        <v>1</v>
      </c>
      <c r="F49" s="414">
        <v>8.75</v>
      </c>
      <c r="G49" s="414">
        <v>2.8099999999999996</v>
      </c>
      <c r="H49" s="325">
        <v>4.95</v>
      </c>
      <c r="I49" s="325">
        <v>21</v>
      </c>
      <c r="J49" s="326">
        <f t="shared" si="6"/>
        <v>100.2</v>
      </c>
      <c r="K49" s="327">
        <f t="shared" si="7"/>
        <v>0</v>
      </c>
      <c r="L49" s="328">
        <v>45402</v>
      </c>
      <c r="M49" s="333">
        <f t="shared" si="8"/>
        <v>0</v>
      </c>
      <c r="N49" s="334">
        <v>7.3</v>
      </c>
      <c r="O49" s="335">
        <f t="shared" si="4"/>
        <v>0</v>
      </c>
      <c r="P49" s="335">
        <f t="shared" si="9"/>
        <v>1.7615658362989326</v>
      </c>
    </row>
    <row r="50" spans="1:16" ht="15" x14ac:dyDescent="0.25">
      <c r="A50" s="9">
        <v>600</v>
      </c>
      <c r="B50" s="9">
        <v>12</v>
      </c>
      <c r="C50" s="324">
        <f>SUMIFS(Estimate!$S$187:$S$286,Estimate!$F$187:$F$286,'B&amp;G'!A50,Estimate!$E$187:$E$286,'B&amp;G'!B50)</f>
        <v>0</v>
      </c>
      <c r="D50" s="9">
        <v>16</v>
      </c>
      <c r="E50" s="137">
        <v>1.125</v>
      </c>
      <c r="F50" s="414">
        <v>9</v>
      </c>
      <c r="G50" s="414">
        <v>3.7199999999999998</v>
      </c>
      <c r="H50" s="325">
        <v>4.95</v>
      </c>
      <c r="I50" s="325">
        <v>31.583333333333336</v>
      </c>
      <c r="J50" s="326">
        <f t="shared" si="6"/>
        <v>110.78333333333333</v>
      </c>
      <c r="K50" s="327">
        <f t="shared" si="7"/>
        <v>0</v>
      </c>
      <c r="L50" s="328">
        <v>42093</v>
      </c>
      <c r="M50" s="333">
        <f t="shared" si="8"/>
        <v>0</v>
      </c>
      <c r="N50" s="334">
        <v>7.3</v>
      </c>
      <c r="O50" s="335">
        <f t="shared" si="4"/>
        <v>0</v>
      </c>
      <c r="P50" s="335">
        <f t="shared" si="9"/>
        <v>1.3306451612903227</v>
      </c>
    </row>
    <row r="51" spans="1:16" ht="15" x14ac:dyDescent="0.25">
      <c r="A51" s="9">
        <v>600</v>
      </c>
      <c r="B51" s="9">
        <v>14</v>
      </c>
      <c r="C51" s="324">
        <f>SUMIFS(Estimate!$S$187:$S$286,Estimate!$F$187:$F$286,'B&amp;G'!A51,Estimate!$E$187:$E$286,'B&amp;G'!B51)</f>
        <v>0</v>
      </c>
      <c r="D51" s="9">
        <v>20</v>
      </c>
      <c r="E51" s="137">
        <v>1.375</v>
      </c>
      <c r="F51" s="414">
        <v>9.5</v>
      </c>
      <c r="G51" s="414">
        <v>6.05</v>
      </c>
      <c r="H51" s="325">
        <v>10.95</v>
      </c>
      <c r="I51" s="325">
        <v>36.847222222222221</v>
      </c>
      <c r="J51" s="326">
        <f t="shared" si="6"/>
        <v>255.84722222222223</v>
      </c>
      <c r="K51" s="327">
        <f t="shared" si="7"/>
        <v>0</v>
      </c>
      <c r="L51" s="328">
        <v>42093</v>
      </c>
      <c r="M51" s="333">
        <f t="shared" si="8"/>
        <v>0</v>
      </c>
      <c r="N51" s="334">
        <v>7.3</v>
      </c>
      <c r="O51" s="335">
        <f t="shared" si="4"/>
        <v>0</v>
      </c>
      <c r="P51" s="335">
        <f t="shared" si="9"/>
        <v>1.8099173553719008</v>
      </c>
    </row>
    <row r="52" spans="1:16" ht="15" x14ac:dyDescent="0.25">
      <c r="A52" s="9">
        <v>600</v>
      </c>
      <c r="B52" s="9">
        <v>16</v>
      </c>
      <c r="C52" s="324">
        <f>SUMIFS(Estimate!$S$187:$S$286,Estimate!$F$187:$F$286,'B&amp;G'!A52,Estimate!$E$187:$E$286,'B&amp;G'!B52)</f>
        <v>0</v>
      </c>
      <c r="D52" s="9">
        <v>20</v>
      </c>
      <c r="E52" s="137">
        <v>1.5</v>
      </c>
      <c r="F52" s="414">
        <v>10.25</v>
      </c>
      <c r="G52" s="414">
        <v>7.76</v>
      </c>
      <c r="H52" s="325">
        <v>10.95</v>
      </c>
      <c r="I52" s="325">
        <v>34.549999999999997</v>
      </c>
      <c r="J52" s="326">
        <f t="shared" si="6"/>
        <v>253.55</v>
      </c>
      <c r="K52" s="327">
        <f t="shared" si="7"/>
        <v>0</v>
      </c>
      <c r="L52" s="328">
        <v>45402</v>
      </c>
      <c r="M52" s="333">
        <f t="shared" si="8"/>
        <v>0</v>
      </c>
      <c r="N52" s="334">
        <v>7.3</v>
      </c>
      <c r="O52" s="335">
        <f t="shared" si="4"/>
        <v>0</v>
      </c>
      <c r="P52" s="335">
        <f t="shared" si="9"/>
        <v>1.411082474226804</v>
      </c>
    </row>
    <row r="53" spans="1:16" ht="15" x14ac:dyDescent="0.25">
      <c r="A53" s="9">
        <v>600</v>
      </c>
      <c r="B53" s="9">
        <v>18</v>
      </c>
      <c r="C53" s="324">
        <f>SUMIFS(Estimate!$S$187:$S$286,Estimate!$F$187:$F$286,'B&amp;G'!A53,Estimate!$E$187:$E$286,'B&amp;G'!B53)</f>
        <v>0</v>
      </c>
      <c r="D53" s="9">
        <v>24</v>
      </c>
      <c r="E53" s="137">
        <v>1.625</v>
      </c>
      <c r="F53" s="414">
        <v>11</v>
      </c>
      <c r="G53" s="414">
        <v>9.7099999999999991</v>
      </c>
      <c r="H53" s="325">
        <f t="shared" ref="H53:H58" si="11">G53*1.2</f>
        <v>11.651999999999999</v>
      </c>
      <c r="I53" s="325">
        <v>42.9</v>
      </c>
      <c r="J53" s="326">
        <f t="shared" si="6"/>
        <v>322.54799999999994</v>
      </c>
      <c r="K53" s="327">
        <f t="shared" si="7"/>
        <v>0</v>
      </c>
      <c r="L53" s="328">
        <v>45402</v>
      </c>
      <c r="M53" s="333">
        <f t="shared" si="8"/>
        <v>0</v>
      </c>
      <c r="N53" s="334">
        <v>9.6999999999999993</v>
      </c>
      <c r="O53" s="335">
        <f t="shared" si="4"/>
        <v>0</v>
      </c>
      <c r="P53" s="335">
        <f t="shared" si="9"/>
        <v>1.2</v>
      </c>
    </row>
    <row r="54" spans="1:16" ht="15" x14ac:dyDescent="0.25">
      <c r="A54" s="9">
        <v>600</v>
      </c>
      <c r="B54" s="9">
        <v>20</v>
      </c>
      <c r="C54" s="324">
        <f>SUMIFS(Estimate!$S$187:$S$286,Estimate!$F$187:$F$286,'B&amp;G'!A54,Estimate!$E$187:$E$286,'B&amp;G'!B54)</f>
        <v>0</v>
      </c>
      <c r="D54" s="9">
        <v>24</v>
      </c>
      <c r="E54" s="137">
        <v>1.25</v>
      </c>
      <c r="F54" s="414">
        <v>11.5</v>
      </c>
      <c r="G54" s="414">
        <v>5.59</v>
      </c>
      <c r="H54" s="325">
        <f t="shared" si="11"/>
        <v>6.7079999999999993</v>
      </c>
      <c r="I54" s="325">
        <v>68.430555555555557</v>
      </c>
      <c r="J54" s="326">
        <f t="shared" si="6"/>
        <v>229.42255555555556</v>
      </c>
      <c r="K54" s="327">
        <f t="shared" si="7"/>
        <v>0</v>
      </c>
      <c r="L54" s="328">
        <v>42093</v>
      </c>
      <c r="M54" s="333">
        <f t="shared" si="8"/>
        <v>0</v>
      </c>
      <c r="N54" s="334">
        <v>12.2</v>
      </c>
      <c r="O54" s="335">
        <f t="shared" si="4"/>
        <v>0</v>
      </c>
      <c r="P54" s="335">
        <f t="shared" si="9"/>
        <v>1.2</v>
      </c>
    </row>
    <row r="55" spans="1:16" ht="15" x14ac:dyDescent="0.25">
      <c r="A55" s="9">
        <v>600</v>
      </c>
      <c r="B55" s="9">
        <v>24</v>
      </c>
      <c r="C55" s="324">
        <f>SUMIFS(Estimate!$S$187:$S$286,Estimate!$F$187:$F$286,'B&amp;G'!A55,Estimate!$E$187:$E$286,'B&amp;G'!B55)</f>
        <v>0</v>
      </c>
      <c r="D55" s="9">
        <v>24</v>
      </c>
      <c r="E55" s="137">
        <v>1.875</v>
      </c>
      <c r="F55" s="414">
        <v>13</v>
      </c>
      <c r="G55" s="414">
        <v>15</v>
      </c>
      <c r="H55" s="325">
        <f t="shared" si="11"/>
        <v>18</v>
      </c>
      <c r="I55" s="325">
        <v>89.486111111111114</v>
      </c>
      <c r="J55" s="326">
        <f t="shared" si="6"/>
        <v>521.48611111111109</v>
      </c>
      <c r="K55" s="327">
        <f t="shared" si="7"/>
        <v>0</v>
      </c>
      <c r="L55" s="328">
        <v>42093</v>
      </c>
      <c r="M55" s="333">
        <f t="shared" si="8"/>
        <v>0</v>
      </c>
      <c r="N55" s="334">
        <v>14.7</v>
      </c>
      <c r="O55" s="335">
        <f t="shared" si="4"/>
        <v>0</v>
      </c>
      <c r="P55" s="335">
        <f t="shared" si="9"/>
        <v>1.2</v>
      </c>
    </row>
    <row r="56" spans="1:16" ht="15" x14ac:dyDescent="0.25">
      <c r="A56" s="9">
        <v>600</v>
      </c>
      <c r="B56" s="9">
        <v>30</v>
      </c>
      <c r="C56" s="324">
        <f>SUMIFS(Estimate!$S$187:$S$286,Estimate!$F$187:$F$286,'B&amp;G'!A56,Estimate!$E$187:$E$286,'B&amp;G'!B56)</f>
        <v>0</v>
      </c>
      <c r="D56" s="9">
        <v>28</v>
      </c>
      <c r="E56" s="137">
        <v>2</v>
      </c>
      <c r="F56" s="414">
        <v>13.75</v>
      </c>
      <c r="G56" s="414">
        <v>18.240000000000002</v>
      </c>
      <c r="H56" s="325">
        <f t="shared" si="11"/>
        <v>21.888000000000002</v>
      </c>
      <c r="I56" s="325">
        <v>100.01388888888889</v>
      </c>
      <c r="J56" s="326">
        <f t="shared" si="6"/>
        <v>712.87788888888895</v>
      </c>
      <c r="K56" s="327">
        <f t="shared" si="7"/>
        <v>0</v>
      </c>
      <c r="L56" s="328">
        <v>42093</v>
      </c>
      <c r="M56" s="333">
        <f t="shared" si="8"/>
        <v>0</v>
      </c>
      <c r="N56" s="334">
        <v>17.100000000000001</v>
      </c>
      <c r="O56" s="335">
        <f t="shared" si="4"/>
        <v>0</v>
      </c>
      <c r="P56" s="335">
        <f t="shared" si="9"/>
        <v>1.2</v>
      </c>
    </row>
    <row r="57" spans="1:16" ht="15" x14ac:dyDescent="0.25">
      <c r="A57" s="9">
        <v>600</v>
      </c>
      <c r="B57" s="9">
        <v>36</v>
      </c>
      <c r="C57" s="324">
        <f>SUMIFS(Estimate!$S$187:$S$286,Estimate!$F$187:$F$286,'B&amp;G'!A57,Estimate!$E$187:$E$286,'B&amp;G'!B57)</f>
        <v>0</v>
      </c>
      <c r="D57" s="9">
        <v>32</v>
      </c>
      <c r="E57" s="137">
        <v>2.5</v>
      </c>
      <c r="F57" s="414">
        <v>15.51</v>
      </c>
      <c r="G57" s="414">
        <v>32.879999999999995</v>
      </c>
      <c r="H57" s="325">
        <f t="shared" si="11"/>
        <v>39.455999999999996</v>
      </c>
      <c r="I57" s="325">
        <v>157.91666666666669</v>
      </c>
      <c r="J57" s="326">
        <f t="shared" si="6"/>
        <v>1420.5086666666666</v>
      </c>
      <c r="K57" s="327">
        <f t="shared" si="7"/>
        <v>0</v>
      </c>
      <c r="L57" s="328">
        <v>42093</v>
      </c>
      <c r="M57" s="333">
        <f t="shared" si="8"/>
        <v>0</v>
      </c>
      <c r="N57" s="334">
        <v>20</v>
      </c>
      <c r="O57" s="335">
        <f t="shared" si="4"/>
        <v>0</v>
      </c>
      <c r="P57" s="335">
        <f t="shared" si="9"/>
        <v>1.2</v>
      </c>
    </row>
    <row r="58" spans="1:16" ht="15" x14ac:dyDescent="0.25">
      <c r="A58" s="9">
        <v>600</v>
      </c>
      <c r="B58" s="9">
        <v>48</v>
      </c>
      <c r="C58" s="324">
        <f>SUMIFS(Estimate!$S$187:$S$286,Estimate!$F$187:$F$286,'B&amp;G'!A58,Estimate!$E$187:$E$286,'B&amp;G'!B58)</f>
        <v>0</v>
      </c>
      <c r="D58" s="9">
        <v>32</v>
      </c>
      <c r="E58" s="137">
        <v>2.75</v>
      </c>
      <c r="F58" s="414">
        <v>21.130000000000003</v>
      </c>
      <c r="G58" s="414">
        <v>50.36</v>
      </c>
      <c r="H58" s="325">
        <f t="shared" si="11"/>
        <v>60.431999999999995</v>
      </c>
      <c r="I58" s="325">
        <v>368.47222222222223</v>
      </c>
      <c r="J58" s="326">
        <f t="shared" si="6"/>
        <v>2302.2962222222222</v>
      </c>
      <c r="K58" s="327">
        <f t="shared" si="7"/>
        <v>0</v>
      </c>
      <c r="L58" s="328">
        <v>42093</v>
      </c>
      <c r="M58" s="333">
        <f t="shared" si="8"/>
        <v>0</v>
      </c>
      <c r="N58" s="334">
        <v>23.5</v>
      </c>
      <c r="O58" s="335">
        <f t="shared" si="4"/>
        <v>0</v>
      </c>
      <c r="P58" s="335">
        <f t="shared" si="9"/>
        <v>1.2</v>
      </c>
    </row>
    <row r="59" spans="1:16" ht="15" x14ac:dyDescent="0.25">
      <c r="A59" s="9">
        <v>900</v>
      </c>
      <c r="B59" s="9">
        <v>0.5</v>
      </c>
      <c r="C59" s="324">
        <f>SUMIFS(Estimate!$S$187:$S$286,Estimate!$F$187:$F$286,'B&amp;G'!A59,Estimate!$E$187:$E$286,'B&amp;G'!B59)</f>
        <v>0</v>
      </c>
      <c r="D59" s="9">
        <v>4</v>
      </c>
      <c r="E59" s="137">
        <v>0.75</v>
      </c>
      <c r="F59" s="414">
        <v>4.5</v>
      </c>
      <c r="G59" s="414">
        <v>0.97</v>
      </c>
      <c r="H59" s="325">
        <v>1.1838461538461538</v>
      </c>
      <c r="I59" s="325">
        <v>3.1583333333333332</v>
      </c>
      <c r="J59" s="326">
        <f t="shared" si="6"/>
        <v>7.8937179487179483</v>
      </c>
      <c r="K59" s="327">
        <f t="shared" si="7"/>
        <v>0</v>
      </c>
      <c r="L59" s="328">
        <v>43383</v>
      </c>
      <c r="M59" s="333">
        <f t="shared" si="8"/>
        <v>0</v>
      </c>
      <c r="N59" s="334">
        <v>2.5</v>
      </c>
      <c r="O59" s="335">
        <f t="shared" si="4"/>
        <v>0</v>
      </c>
      <c r="P59" s="335">
        <f t="shared" si="9"/>
        <v>1.2204599524187152</v>
      </c>
    </row>
    <row r="60" spans="1:16" ht="15" x14ac:dyDescent="0.25">
      <c r="A60" s="9">
        <v>900</v>
      </c>
      <c r="B60" s="9">
        <v>0.75</v>
      </c>
      <c r="C60" s="324">
        <f>SUMIFS(Estimate!$S$187:$S$286,Estimate!$F$187:$F$286,'B&amp;G'!A60,Estimate!$E$187:$E$286,'B&amp;G'!B60)</f>
        <v>0</v>
      </c>
      <c r="D60" s="9">
        <v>4</v>
      </c>
      <c r="E60" s="137">
        <v>0.75</v>
      </c>
      <c r="F60" s="414">
        <v>4.75</v>
      </c>
      <c r="G60" s="414">
        <v>1</v>
      </c>
      <c r="H60" s="325">
        <v>1.1491200000000001</v>
      </c>
      <c r="I60" s="325">
        <v>4.2111111111111112</v>
      </c>
      <c r="J60" s="326">
        <f t="shared" si="6"/>
        <v>8.8075911111111118</v>
      </c>
      <c r="K60" s="327">
        <f t="shared" si="7"/>
        <v>0</v>
      </c>
      <c r="L60" s="328">
        <v>43383</v>
      </c>
      <c r="M60" s="333">
        <f t="shared" si="8"/>
        <v>0</v>
      </c>
      <c r="N60" s="334">
        <v>2.5</v>
      </c>
      <c r="O60" s="335">
        <f t="shared" si="4"/>
        <v>0</v>
      </c>
      <c r="P60" s="335">
        <f t="shared" si="9"/>
        <v>1.1491200000000001</v>
      </c>
    </row>
    <row r="61" spans="1:16" ht="15" x14ac:dyDescent="0.25">
      <c r="A61" s="9">
        <v>900</v>
      </c>
      <c r="B61" s="9">
        <v>1</v>
      </c>
      <c r="C61" s="324">
        <f>SUMIFS(Estimate!$S$187:$S$286,Estimate!$F$187:$F$286,'B&amp;G'!A61,Estimate!$E$187:$E$286,'B&amp;G'!B61)</f>
        <v>0</v>
      </c>
      <c r="D61" s="9">
        <v>4</v>
      </c>
      <c r="E61" s="137">
        <v>0.875</v>
      </c>
      <c r="F61" s="414">
        <v>5.25</v>
      </c>
      <c r="G61" s="414">
        <v>1.5</v>
      </c>
      <c r="H61" s="325">
        <v>1.7287199999999998</v>
      </c>
      <c r="I61" s="325">
        <v>4.9480555555555563</v>
      </c>
      <c r="J61" s="326">
        <f t="shared" si="6"/>
        <v>11.862935555555556</v>
      </c>
      <c r="K61" s="327">
        <f t="shared" si="7"/>
        <v>0</v>
      </c>
      <c r="L61" s="328">
        <v>43383</v>
      </c>
      <c r="M61" s="333">
        <f t="shared" si="8"/>
        <v>0</v>
      </c>
      <c r="N61" s="334">
        <v>2.5</v>
      </c>
      <c r="O61" s="335">
        <f t="shared" si="4"/>
        <v>0</v>
      </c>
      <c r="P61" s="335">
        <f t="shared" si="9"/>
        <v>1.1524799999999999</v>
      </c>
    </row>
    <row r="62" spans="1:16" ht="15" x14ac:dyDescent="0.25">
      <c r="A62" s="9">
        <v>900</v>
      </c>
      <c r="B62" s="9">
        <v>1.5</v>
      </c>
      <c r="C62" s="324">
        <f>SUMIFS(Estimate!$S$187:$S$286,Estimate!$F$187:$F$286,'B&amp;G'!A62,Estimate!$E$187:$E$286,'B&amp;G'!B62)</f>
        <v>0</v>
      </c>
      <c r="D62" s="9">
        <v>4</v>
      </c>
      <c r="E62" s="137">
        <v>1</v>
      </c>
      <c r="F62" s="414">
        <v>5.75</v>
      </c>
      <c r="G62" s="414">
        <v>2.15</v>
      </c>
      <c r="H62" s="325">
        <v>2.4306172839506179</v>
      </c>
      <c r="I62" s="325">
        <v>6.3166666666666664</v>
      </c>
      <c r="J62" s="326">
        <f t="shared" si="6"/>
        <v>16.03913580246914</v>
      </c>
      <c r="K62" s="327">
        <f t="shared" si="7"/>
        <v>0</v>
      </c>
      <c r="L62" s="328">
        <v>43383</v>
      </c>
      <c r="M62" s="333">
        <f t="shared" si="8"/>
        <v>0</v>
      </c>
      <c r="N62" s="334">
        <v>2.5</v>
      </c>
      <c r="O62" s="335">
        <f t="shared" si="4"/>
        <v>0</v>
      </c>
      <c r="P62" s="335">
        <f t="shared" si="9"/>
        <v>1.1305196669537758</v>
      </c>
    </row>
    <row r="63" spans="1:16" ht="15" x14ac:dyDescent="0.25">
      <c r="A63" s="9">
        <v>900</v>
      </c>
      <c r="B63" s="9">
        <v>2</v>
      </c>
      <c r="C63" s="324">
        <f>SUMIFS(Estimate!$S$187:$S$286,Estimate!$F$187:$F$286,'B&amp;G'!A63,Estimate!$E$187:$E$286,'B&amp;G'!B63)</f>
        <v>0</v>
      </c>
      <c r="D63" s="9">
        <v>8</v>
      </c>
      <c r="E63" s="137">
        <v>0.875</v>
      </c>
      <c r="F63" s="414">
        <v>6</v>
      </c>
      <c r="G63" s="414">
        <v>1.6300000000000001</v>
      </c>
      <c r="H63" s="325">
        <v>1.8293333333333333</v>
      </c>
      <c r="I63" s="325">
        <v>12.633333333333333</v>
      </c>
      <c r="J63" s="326">
        <f t="shared" si="6"/>
        <v>27.268000000000001</v>
      </c>
      <c r="K63" s="327">
        <f t="shared" si="7"/>
        <v>0</v>
      </c>
      <c r="L63" s="328">
        <v>43383</v>
      </c>
      <c r="M63" s="333">
        <f t="shared" si="8"/>
        <v>0</v>
      </c>
      <c r="N63" s="334">
        <v>2.5</v>
      </c>
      <c r="O63" s="335">
        <f t="shared" si="4"/>
        <v>0</v>
      </c>
      <c r="P63" s="335">
        <f t="shared" si="9"/>
        <v>1.1222903885480571</v>
      </c>
    </row>
    <row r="64" spans="1:16" ht="15" x14ac:dyDescent="0.25">
      <c r="A64" s="9">
        <v>900</v>
      </c>
      <c r="B64" s="9">
        <v>3</v>
      </c>
      <c r="C64" s="324">
        <f>SUMIFS(Estimate!$S$187:$S$286,Estimate!$F$187:$F$286,'B&amp;G'!A64,Estimate!$E$187:$E$286,'B&amp;G'!B64)</f>
        <v>0</v>
      </c>
      <c r="D64" s="9">
        <v>8</v>
      </c>
      <c r="E64" s="137">
        <v>0.875</v>
      </c>
      <c r="F64" s="414">
        <v>6</v>
      </c>
      <c r="G64" s="414">
        <v>1.6300000000000001</v>
      </c>
      <c r="H64" s="325">
        <v>1.8355555555555554</v>
      </c>
      <c r="I64" s="325">
        <v>4.75</v>
      </c>
      <c r="J64" s="326">
        <f t="shared" si="6"/>
        <v>19.434444444444445</v>
      </c>
      <c r="K64" s="327">
        <f t="shared" si="7"/>
        <v>0</v>
      </c>
      <c r="L64" s="328">
        <v>45402</v>
      </c>
      <c r="M64" s="333">
        <f t="shared" si="8"/>
        <v>0</v>
      </c>
      <c r="N64" s="334">
        <v>2.5</v>
      </c>
      <c r="O64" s="335">
        <f t="shared" si="4"/>
        <v>0</v>
      </c>
      <c r="P64" s="335">
        <f t="shared" si="9"/>
        <v>1.1261077027948192</v>
      </c>
    </row>
    <row r="65" spans="1:16" ht="15" x14ac:dyDescent="0.25">
      <c r="A65" s="9">
        <v>900</v>
      </c>
      <c r="B65" s="9">
        <v>4</v>
      </c>
      <c r="C65" s="324">
        <f>SUMIFS(Estimate!$S$187:$S$286,Estimate!$F$187:$F$286,'B&amp;G'!A65,Estimate!$E$187:$E$286,'B&amp;G'!B65)</f>
        <v>0</v>
      </c>
      <c r="D65" s="9">
        <v>8</v>
      </c>
      <c r="E65" s="137">
        <v>1.125</v>
      </c>
      <c r="F65" s="414">
        <v>7</v>
      </c>
      <c r="G65" s="414">
        <v>3.1599999999999997</v>
      </c>
      <c r="H65" s="325">
        <v>3.5100000000000002</v>
      </c>
      <c r="I65" s="325">
        <v>6.5</v>
      </c>
      <c r="J65" s="326">
        <f t="shared" si="6"/>
        <v>34.58</v>
      </c>
      <c r="K65" s="327">
        <f t="shared" si="7"/>
        <v>0</v>
      </c>
      <c r="L65" s="328">
        <v>45383</v>
      </c>
      <c r="M65" s="333">
        <f t="shared" si="8"/>
        <v>0</v>
      </c>
      <c r="N65" s="334">
        <v>4.8999999999999995</v>
      </c>
      <c r="O65" s="335">
        <f t="shared" si="4"/>
        <v>0</v>
      </c>
      <c r="P65" s="335">
        <f t="shared" si="9"/>
        <v>1.1107594936708862</v>
      </c>
    </row>
    <row r="66" spans="1:16" ht="15" x14ac:dyDescent="0.25">
      <c r="A66" s="9">
        <v>900</v>
      </c>
      <c r="B66" s="9">
        <v>6</v>
      </c>
      <c r="C66" s="324">
        <f>SUMIFS(Estimate!$S$187:$S$286,Estimate!$F$187:$F$286,'B&amp;G'!A66,Estimate!$E$187:$E$286,'B&amp;G'!B66)</f>
        <v>0</v>
      </c>
      <c r="D66" s="9">
        <v>12</v>
      </c>
      <c r="E66" s="137">
        <v>1.125</v>
      </c>
      <c r="F66" s="414">
        <v>7.75</v>
      </c>
      <c r="G66" s="414">
        <v>3.3699999999999997</v>
      </c>
      <c r="H66" s="325">
        <v>3.7833147321428577</v>
      </c>
      <c r="I66" s="325">
        <v>9.65</v>
      </c>
      <c r="J66" s="326">
        <f t="shared" ref="J66:J97" si="12">D66*H66+I66</f>
        <v>55.049776785714293</v>
      </c>
      <c r="K66" s="327">
        <f t="shared" ref="K66:K97" si="13">J66*C66</f>
        <v>0</v>
      </c>
      <c r="L66" s="328">
        <v>45383</v>
      </c>
      <c r="M66" s="333">
        <f t="shared" ref="M66:M101" si="14">IF(E66&gt;=$D$107,C66,0)</f>
        <v>0</v>
      </c>
      <c r="N66" s="334">
        <v>4.8999999999999995</v>
      </c>
      <c r="O66" s="335">
        <f t="shared" si="4"/>
        <v>0</v>
      </c>
      <c r="P66" s="335">
        <f t="shared" ref="P66:P101" si="15">H66/G66</f>
        <v>1.1226453211106404</v>
      </c>
    </row>
    <row r="67" spans="1:16" ht="15" x14ac:dyDescent="0.25">
      <c r="A67" s="9">
        <v>900</v>
      </c>
      <c r="B67" s="9">
        <v>8</v>
      </c>
      <c r="C67" s="324">
        <f>SUMIFS(Estimate!$S$187:$S$286,Estimate!$F$187:$F$286,'B&amp;G'!A67,Estimate!$E$187:$E$286,'B&amp;G'!B67)</f>
        <v>0</v>
      </c>
      <c r="D67" s="9">
        <v>12</v>
      </c>
      <c r="E67" s="137">
        <v>1.375</v>
      </c>
      <c r="F67" s="414">
        <v>9</v>
      </c>
      <c r="G67" s="414">
        <v>5.84</v>
      </c>
      <c r="H67" s="325">
        <v>6.2451612903225815</v>
      </c>
      <c r="I67" s="325">
        <v>15.4</v>
      </c>
      <c r="J67" s="326">
        <f t="shared" si="12"/>
        <v>90.341935483870984</v>
      </c>
      <c r="K67" s="327">
        <f t="shared" si="13"/>
        <v>0</v>
      </c>
      <c r="L67" s="328">
        <v>45383</v>
      </c>
      <c r="M67" s="333">
        <f t="shared" si="14"/>
        <v>0</v>
      </c>
      <c r="N67" s="334">
        <v>4.8999999999999995</v>
      </c>
      <c r="O67" s="335">
        <f t="shared" ref="O67:O101" si="16">M67*N67</f>
        <v>0</v>
      </c>
      <c r="P67" s="335">
        <f t="shared" si="15"/>
        <v>1.0693769332744147</v>
      </c>
    </row>
    <row r="68" spans="1:16" ht="15" x14ac:dyDescent="0.25">
      <c r="A68" s="9">
        <v>900</v>
      </c>
      <c r="B68" s="9">
        <v>10</v>
      </c>
      <c r="C68" s="324">
        <f>SUMIFS(Estimate!$S$187:$S$286,Estimate!$F$187:$F$286,'B&amp;G'!A68,Estimate!$E$187:$E$286,'B&amp;G'!B68)</f>
        <v>0</v>
      </c>
      <c r="D68" s="9">
        <v>16</v>
      </c>
      <c r="E68" s="137">
        <v>1.375</v>
      </c>
      <c r="F68" s="414">
        <v>9.5</v>
      </c>
      <c r="G68" s="414">
        <v>6.05</v>
      </c>
      <c r="H68" s="325">
        <v>6.5028857142857142</v>
      </c>
      <c r="I68" s="325">
        <v>52.638888888888893</v>
      </c>
      <c r="J68" s="326">
        <f t="shared" si="12"/>
        <v>156.68506031746031</v>
      </c>
      <c r="K68" s="327">
        <f t="shared" si="13"/>
        <v>0</v>
      </c>
      <c r="L68" s="328">
        <v>43383</v>
      </c>
      <c r="M68" s="333">
        <f t="shared" si="14"/>
        <v>0</v>
      </c>
      <c r="N68" s="334">
        <v>7.3</v>
      </c>
      <c r="O68" s="335">
        <f t="shared" si="16"/>
        <v>0</v>
      </c>
      <c r="P68" s="335">
        <f t="shared" si="15"/>
        <v>1.074857142857143</v>
      </c>
    </row>
    <row r="69" spans="1:16" ht="15" x14ac:dyDescent="0.25">
      <c r="A69" s="9">
        <v>900</v>
      </c>
      <c r="B69" s="9">
        <v>12</v>
      </c>
      <c r="C69" s="324">
        <f>SUMIFS(Estimate!$S$187:$S$286,Estimate!$F$187:$F$286,'B&amp;G'!A69,Estimate!$E$187:$E$286,'B&amp;G'!B69)</f>
        <v>0</v>
      </c>
      <c r="D69" s="9">
        <v>20</v>
      </c>
      <c r="E69" s="137">
        <v>1.375</v>
      </c>
      <c r="F69" s="414">
        <v>10.25</v>
      </c>
      <c r="G69" s="414">
        <v>6.3599999999999994</v>
      </c>
      <c r="H69" s="325">
        <v>6.8213750000000006</v>
      </c>
      <c r="I69" s="325">
        <v>63.166666666666671</v>
      </c>
      <c r="J69" s="326">
        <f t="shared" si="12"/>
        <v>199.59416666666669</v>
      </c>
      <c r="K69" s="327">
        <f t="shared" si="13"/>
        <v>0</v>
      </c>
      <c r="L69" s="328">
        <v>43383</v>
      </c>
      <c r="M69" s="333">
        <f t="shared" si="14"/>
        <v>0</v>
      </c>
      <c r="N69" s="334">
        <v>7.3</v>
      </c>
      <c r="O69" s="335">
        <f t="shared" si="16"/>
        <v>0</v>
      </c>
      <c r="P69" s="335">
        <f t="shared" si="15"/>
        <v>1.0725432389937108</v>
      </c>
    </row>
    <row r="70" spans="1:16" ht="15" x14ac:dyDescent="0.25">
      <c r="A70" s="9">
        <v>900</v>
      </c>
      <c r="B70" s="9">
        <v>14</v>
      </c>
      <c r="C70" s="324">
        <f>SUMIFS(Estimate!$S$187:$S$286,Estimate!$F$187:$F$286,'B&amp;G'!A70,Estimate!$E$187:$E$286,'B&amp;G'!B70)</f>
        <v>0</v>
      </c>
      <c r="D70" s="9">
        <v>20</v>
      </c>
      <c r="E70" s="137">
        <v>1.5</v>
      </c>
      <c r="F70" s="414">
        <v>11</v>
      </c>
      <c r="G70" s="414">
        <v>8.14</v>
      </c>
      <c r="H70" s="325">
        <v>15.088995215311005</v>
      </c>
      <c r="I70" s="325">
        <v>73.694444444444443</v>
      </c>
      <c r="J70" s="326">
        <f t="shared" si="12"/>
        <v>375.47434875066455</v>
      </c>
      <c r="K70" s="327">
        <f t="shared" si="13"/>
        <v>0</v>
      </c>
      <c r="L70" s="328">
        <v>43383</v>
      </c>
      <c r="M70" s="333">
        <f t="shared" si="14"/>
        <v>0</v>
      </c>
      <c r="N70" s="334">
        <v>7.3</v>
      </c>
      <c r="O70" s="335">
        <f t="shared" si="16"/>
        <v>0</v>
      </c>
      <c r="P70" s="335">
        <f t="shared" si="15"/>
        <v>1.8536849158858728</v>
      </c>
    </row>
    <row r="71" spans="1:16" ht="15" x14ac:dyDescent="0.25">
      <c r="A71" s="9">
        <v>900</v>
      </c>
      <c r="B71" s="9">
        <v>16</v>
      </c>
      <c r="C71" s="324">
        <f>SUMIFS(Estimate!$S$187:$S$286,Estimate!$F$187:$F$286,'B&amp;G'!A71,Estimate!$E$187:$E$286,'B&amp;G'!B71)</f>
        <v>0</v>
      </c>
      <c r="D71" s="9">
        <v>20</v>
      </c>
      <c r="E71" s="137">
        <v>1.625</v>
      </c>
      <c r="F71" s="414">
        <v>11.5</v>
      </c>
      <c r="G71" s="414">
        <v>10.01</v>
      </c>
      <c r="H71" s="325">
        <v>14.418241869918699</v>
      </c>
      <c r="I71" s="325">
        <v>94.75</v>
      </c>
      <c r="J71" s="326">
        <f t="shared" si="12"/>
        <v>383.11483739837399</v>
      </c>
      <c r="K71" s="327">
        <f t="shared" si="13"/>
        <v>0</v>
      </c>
      <c r="L71" s="328">
        <v>43383</v>
      </c>
      <c r="M71" s="333">
        <f t="shared" si="14"/>
        <v>0</v>
      </c>
      <c r="N71" s="334">
        <v>9.6999999999999993</v>
      </c>
      <c r="O71" s="335">
        <f t="shared" si="16"/>
        <v>0</v>
      </c>
      <c r="P71" s="335">
        <f t="shared" si="15"/>
        <v>1.4403838031886813</v>
      </c>
    </row>
    <row r="72" spans="1:16" ht="15" x14ac:dyDescent="0.25">
      <c r="A72" s="9">
        <v>900</v>
      </c>
      <c r="B72" s="9">
        <v>18</v>
      </c>
      <c r="C72" s="324">
        <f>SUMIFS(Estimate!$S$187:$S$286,Estimate!$F$187:$F$286,'B&amp;G'!A72,Estimate!$E$187:$E$286,'B&amp;G'!B72)</f>
        <v>0</v>
      </c>
      <c r="D72" s="9">
        <v>20</v>
      </c>
      <c r="E72" s="137">
        <v>1.875</v>
      </c>
      <c r="F72" s="414">
        <v>13</v>
      </c>
      <c r="G72" s="414">
        <v>15</v>
      </c>
      <c r="H72" s="325">
        <v>21.699695121951219</v>
      </c>
      <c r="I72" s="325">
        <v>115.80555555555556</v>
      </c>
      <c r="J72" s="326">
        <f t="shared" si="12"/>
        <v>549.79945799457994</v>
      </c>
      <c r="K72" s="327">
        <f t="shared" si="13"/>
        <v>0</v>
      </c>
      <c r="L72" s="328">
        <v>43383</v>
      </c>
      <c r="M72" s="333">
        <f t="shared" si="14"/>
        <v>0</v>
      </c>
      <c r="N72" s="334">
        <v>9.6999999999999993</v>
      </c>
      <c r="O72" s="335">
        <f t="shared" si="16"/>
        <v>0</v>
      </c>
      <c r="P72" s="335">
        <f t="shared" si="15"/>
        <v>1.4466463414634145</v>
      </c>
    </row>
    <row r="73" spans="1:16" ht="15" x14ac:dyDescent="0.25">
      <c r="A73" s="9">
        <v>900</v>
      </c>
      <c r="B73" s="9">
        <v>20</v>
      </c>
      <c r="C73" s="324">
        <f>SUMIFS(Estimate!$S$187:$S$286,Estimate!$F$187:$F$286,'B&amp;G'!A73,Estimate!$E$187:$E$286,'B&amp;G'!B73)</f>
        <v>0</v>
      </c>
      <c r="D73" s="9">
        <v>20</v>
      </c>
      <c r="E73" s="137">
        <v>2</v>
      </c>
      <c r="F73" s="414">
        <v>13.75</v>
      </c>
      <c r="G73" s="414">
        <v>18.240000000000002</v>
      </c>
      <c r="H73" s="325">
        <v>31.336585365853658</v>
      </c>
      <c r="I73" s="325">
        <v>136.86111111111111</v>
      </c>
      <c r="J73" s="326">
        <f t="shared" si="12"/>
        <v>763.59281842818427</v>
      </c>
      <c r="K73" s="327">
        <f t="shared" si="13"/>
        <v>0</v>
      </c>
      <c r="L73" s="328">
        <v>43383</v>
      </c>
      <c r="M73" s="333">
        <f t="shared" si="14"/>
        <v>0</v>
      </c>
      <c r="N73" s="334">
        <v>12.2</v>
      </c>
      <c r="O73" s="335">
        <f t="shared" si="16"/>
        <v>0</v>
      </c>
      <c r="P73" s="335">
        <f t="shared" si="15"/>
        <v>1.7180145485665381</v>
      </c>
    </row>
    <row r="74" spans="1:16" ht="15" x14ac:dyDescent="0.25">
      <c r="A74" s="9">
        <v>900</v>
      </c>
      <c r="B74" s="9">
        <v>24</v>
      </c>
      <c r="C74" s="324">
        <f>SUMIFS(Estimate!$S$187:$S$286,Estimate!$F$187:$F$286,'B&amp;G'!A74,Estimate!$E$187:$E$286,'B&amp;G'!B74)</f>
        <v>0</v>
      </c>
      <c r="D74" s="9">
        <v>20</v>
      </c>
      <c r="E74" s="137">
        <v>2.5</v>
      </c>
      <c r="F74" s="414">
        <v>17.25</v>
      </c>
      <c r="G74" s="414">
        <v>35.299999999999997</v>
      </c>
      <c r="H74" s="325">
        <v>61.426829268292671</v>
      </c>
      <c r="I74" s="325">
        <v>178.97222222222223</v>
      </c>
      <c r="J74" s="326">
        <f t="shared" si="12"/>
        <v>1407.5088075880756</v>
      </c>
      <c r="K74" s="327">
        <f t="shared" si="13"/>
        <v>0</v>
      </c>
      <c r="L74" s="328">
        <v>43383</v>
      </c>
      <c r="M74" s="333">
        <f t="shared" si="14"/>
        <v>0</v>
      </c>
      <c r="N74" s="334">
        <v>12.2</v>
      </c>
      <c r="O74" s="335">
        <f t="shared" si="16"/>
        <v>0</v>
      </c>
      <c r="P74" s="335">
        <f t="shared" si="15"/>
        <v>1.7401368064672147</v>
      </c>
    </row>
    <row r="75" spans="1:16" ht="15" x14ac:dyDescent="0.25">
      <c r="A75" s="9">
        <v>1500</v>
      </c>
      <c r="B75" s="9">
        <v>0.5</v>
      </c>
      <c r="C75" s="324">
        <f>SUMIFS(Estimate!$S$187:$S$286,Estimate!$F$187:$F$286,'B&amp;G'!A75,Estimate!$E$187:$E$286,'B&amp;G'!B75)</f>
        <v>0</v>
      </c>
      <c r="D75" s="9">
        <v>8</v>
      </c>
      <c r="E75" s="137">
        <v>0.75</v>
      </c>
      <c r="F75" s="414">
        <v>4.5</v>
      </c>
      <c r="G75" s="414">
        <v>0.97</v>
      </c>
      <c r="H75" s="325">
        <v>1.1838461538461538</v>
      </c>
      <c r="I75" s="325">
        <v>4.2111111111111112</v>
      </c>
      <c r="J75" s="326">
        <f t="shared" si="12"/>
        <v>13.681880341880341</v>
      </c>
      <c r="K75" s="327">
        <f t="shared" si="13"/>
        <v>0</v>
      </c>
      <c r="L75" s="328">
        <v>43383</v>
      </c>
      <c r="M75" s="333">
        <f t="shared" si="14"/>
        <v>0</v>
      </c>
      <c r="N75" s="334">
        <v>2.5</v>
      </c>
      <c r="O75" s="335">
        <f t="shared" si="16"/>
        <v>0</v>
      </c>
      <c r="P75" s="335">
        <f t="shared" si="15"/>
        <v>1.2204599524187152</v>
      </c>
    </row>
    <row r="76" spans="1:16" ht="15" x14ac:dyDescent="0.25">
      <c r="A76" s="9">
        <v>1500</v>
      </c>
      <c r="B76" s="9">
        <v>0.75</v>
      </c>
      <c r="C76" s="324">
        <f>SUMIFS(Estimate!$S$187:$S$286,Estimate!$F$187:$F$286,'B&amp;G'!A76,Estimate!$E$187:$E$286,'B&amp;G'!B76)</f>
        <v>0</v>
      </c>
      <c r="D76" s="9">
        <v>8</v>
      </c>
      <c r="E76" s="137">
        <v>0.75</v>
      </c>
      <c r="F76" s="414">
        <v>4.75</v>
      </c>
      <c r="G76" s="414">
        <v>1</v>
      </c>
      <c r="H76" s="325">
        <v>1.1491200000000001</v>
      </c>
      <c r="I76" s="325">
        <v>1.45</v>
      </c>
      <c r="J76" s="326">
        <f t="shared" si="12"/>
        <v>10.64296</v>
      </c>
      <c r="K76" s="327">
        <f t="shared" si="13"/>
        <v>0</v>
      </c>
      <c r="L76" s="328">
        <v>45402</v>
      </c>
      <c r="M76" s="333">
        <f t="shared" si="14"/>
        <v>0</v>
      </c>
      <c r="N76" s="334">
        <v>2.5</v>
      </c>
      <c r="O76" s="335">
        <f t="shared" si="16"/>
        <v>0</v>
      </c>
      <c r="P76" s="335">
        <f t="shared" si="15"/>
        <v>1.1491200000000001</v>
      </c>
    </row>
    <row r="77" spans="1:16" ht="15" x14ac:dyDescent="0.25">
      <c r="A77" s="9">
        <v>1500</v>
      </c>
      <c r="B77" s="9">
        <v>1</v>
      </c>
      <c r="C77" s="324">
        <f>SUMIFS(Estimate!$S$187:$S$286,Estimate!$F$187:$F$286,'B&amp;G'!A77,Estimate!$E$187:$E$286,'B&amp;G'!B77)</f>
        <v>0</v>
      </c>
      <c r="D77" s="9">
        <v>8</v>
      </c>
      <c r="E77" s="137">
        <v>0.875</v>
      </c>
      <c r="F77" s="414">
        <v>5.25</v>
      </c>
      <c r="G77" s="414">
        <v>1.5</v>
      </c>
      <c r="H77" s="325">
        <v>1.7287199999999998</v>
      </c>
      <c r="I77" s="325">
        <v>1.6</v>
      </c>
      <c r="J77" s="326">
        <f t="shared" si="12"/>
        <v>15.429759999999998</v>
      </c>
      <c r="K77" s="327">
        <f t="shared" si="13"/>
        <v>0</v>
      </c>
      <c r="L77" s="328">
        <v>45383</v>
      </c>
      <c r="M77" s="333">
        <f t="shared" si="14"/>
        <v>0</v>
      </c>
      <c r="N77" s="334">
        <v>2.5</v>
      </c>
      <c r="O77" s="335">
        <f t="shared" si="16"/>
        <v>0</v>
      </c>
      <c r="P77" s="335">
        <f t="shared" si="15"/>
        <v>1.1524799999999999</v>
      </c>
    </row>
    <row r="78" spans="1:16" ht="15" x14ac:dyDescent="0.25">
      <c r="A78" s="9">
        <v>1500</v>
      </c>
      <c r="B78" s="9">
        <v>1.5</v>
      </c>
      <c r="C78" s="324">
        <f>SUMIFS(Estimate!$S$187:$S$286,Estimate!$F$187:$F$286,'B&amp;G'!A78,Estimate!$E$187:$E$286,'B&amp;G'!B78)</f>
        <v>0</v>
      </c>
      <c r="D78" s="9">
        <v>8</v>
      </c>
      <c r="E78" s="137">
        <v>1.125</v>
      </c>
      <c r="F78" s="414">
        <v>5.75</v>
      </c>
      <c r="G78" s="414">
        <v>2.8099999999999996</v>
      </c>
      <c r="H78" s="325">
        <f>G78*1.2</f>
        <v>3.3719999999999994</v>
      </c>
      <c r="I78" s="325">
        <v>1.9</v>
      </c>
      <c r="J78" s="326">
        <f t="shared" si="12"/>
        <v>28.875999999999994</v>
      </c>
      <c r="K78" s="327">
        <f t="shared" si="13"/>
        <v>0</v>
      </c>
      <c r="L78" s="328">
        <v>45383</v>
      </c>
      <c r="M78" s="333">
        <f t="shared" si="14"/>
        <v>0</v>
      </c>
      <c r="N78" s="334">
        <v>2.5</v>
      </c>
      <c r="O78" s="335">
        <f t="shared" si="16"/>
        <v>0</v>
      </c>
      <c r="P78" s="335">
        <f t="shared" si="15"/>
        <v>1.2</v>
      </c>
    </row>
    <row r="79" spans="1:16" ht="15" x14ac:dyDescent="0.25">
      <c r="A79" s="9">
        <v>1500</v>
      </c>
      <c r="B79" s="9">
        <v>2</v>
      </c>
      <c r="C79" s="324">
        <f>SUMIFS(Estimate!$S$187:$S$286,Estimate!$F$187:$F$286,'B&amp;G'!A79,Estimate!$E$187:$E$286,'B&amp;G'!B79)</f>
        <v>0</v>
      </c>
      <c r="D79" s="9">
        <v>8</v>
      </c>
      <c r="E79" s="137">
        <v>0.875</v>
      </c>
      <c r="F79" s="414">
        <v>6</v>
      </c>
      <c r="G79" s="414">
        <v>1.6300000000000001</v>
      </c>
      <c r="H79" s="325">
        <v>1.8293333333333333</v>
      </c>
      <c r="I79" s="325">
        <v>2.5499999999999998</v>
      </c>
      <c r="J79" s="326">
        <f t="shared" si="12"/>
        <v>17.184666666666665</v>
      </c>
      <c r="K79" s="327">
        <f t="shared" si="13"/>
        <v>0</v>
      </c>
      <c r="L79" s="328">
        <v>45402</v>
      </c>
      <c r="M79" s="333">
        <f t="shared" si="14"/>
        <v>0</v>
      </c>
      <c r="N79" s="334">
        <v>4.8999999999999995</v>
      </c>
      <c r="O79" s="335">
        <f t="shared" si="16"/>
        <v>0</v>
      </c>
      <c r="P79" s="335">
        <f t="shared" si="15"/>
        <v>1.1222903885480571</v>
      </c>
    </row>
    <row r="80" spans="1:16" ht="15" x14ac:dyDescent="0.25">
      <c r="A80" s="9">
        <v>1500</v>
      </c>
      <c r="B80" s="9">
        <v>3</v>
      </c>
      <c r="C80" s="324">
        <f>SUMIFS(Estimate!$S$187:$S$286,Estimate!$F$187:$F$286,'B&amp;G'!A80,Estimate!$E$187:$E$286,'B&amp;G'!B80)</f>
        <v>0</v>
      </c>
      <c r="D80" s="9">
        <v>8</v>
      </c>
      <c r="E80" s="137">
        <v>1.125</v>
      </c>
      <c r="F80" s="414">
        <v>7.25</v>
      </c>
      <c r="G80" s="414">
        <v>3.23</v>
      </c>
      <c r="H80" s="325">
        <v>3.6664285714285714</v>
      </c>
      <c r="I80" s="325">
        <v>4.9000000000000004</v>
      </c>
      <c r="J80" s="326">
        <f t="shared" si="12"/>
        <v>34.231428571428573</v>
      </c>
      <c r="K80" s="327">
        <f t="shared" si="13"/>
        <v>0</v>
      </c>
      <c r="L80" s="328">
        <v>45402</v>
      </c>
      <c r="M80" s="333">
        <f t="shared" si="14"/>
        <v>0</v>
      </c>
      <c r="N80" s="334">
        <v>4.8999999999999995</v>
      </c>
      <c r="O80" s="335">
        <f t="shared" si="16"/>
        <v>0</v>
      </c>
      <c r="P80" s="335">
        <f t="shared" si="15"/>
        <v>1.1351172047766476</v>
      </c>
    </row>
    <row r="81" spans="1:16" ht="15" x14ac:dyDescent="0.25">
      <c r="A81" s="9">
        <v>1500</v>
      </c>
      <c r="B81" s="9">
        <v>4</v>
      </c>
      <c r="C81" s="324">
        <f>SUMIFS(Estimate!$S$187:$S$286,Estimate!$F$187:$F$286,'B&amp;G'!A81,Estimate!$E$187:$E$286,'B&amp;G'!B81)</f>
        <v>0</v>
      </c>
      <c r="D81" s="9">
        <v>8</v>
      </c>
      <c r="E81" s="137">
        <v>1.25</v>
      </c>
      <c r="F81" s="414">
        <v>8</v>
      </c>
      <c r="G81" s="414">
        <v>4.37</v>
      </c>
      <c r="H81" s="325">
        <v>4.9523809523809534</v>
      </c>
      <c r="I81" s="325">
        <v>27.951249999999998</v>
      </c>
      <c r="J81" s="326">
        <f t="shared" si="12"/>
        <v>67.570297619047622</v>
      </c>
      <c r="K81" s="327">
        <f t="shared" si="13"/>
        <v>0</v>
      </c>
      <c r="L81" s="328">
        <v>43383</v>
      </c>
      <c r="M81" s="333">
        <f t="shared" si="14"/>
        <v>0</v>
      </c>
      <c r="N81" s="334">
        <v>4.8999999999999995</v>
      </c>
      <c r="O81" s="335">
        <f t="shared" si="16"/>
        <v>0</v>
      </c>
      <c r="P81" s="335">
        <f t="shared" si="15"/>
        <v>1.1332679524899207</v>
      </c>
    </row>
    <row r="82" spans="1:16" ht="15" x14ac:dyDescent="0.25">
      <c r="A82" s="9">
        <v>1500</v>
      </c>
      <c r="B82" s="9">
        <v>6</v>
      </c>
      <c r="C82" s="324">
        <f>SUMIFS(Estimate!$S$187:$S$286,Estimate!$F$187:$F$286,'B&amp;G'!A82,Estimate!$E$187:$E$286,'B&amp;G'!B82)</f>
        <v>0</v>
      </c>
      <c r="D82" s="9">
        <v>12</v>
      </c>
      <c r="E82" s="137">
        <v>1.375</v>
      </c>
      <c r="F82" s="414">
        <v>10.5</v>
      </c>
      <c r="G82" s="414">
        <v>6.47</v>
      </c>
      <c r="H82" s="325">
        <v>7.657031250000002</v>
      </c>
      <c r="I82" s="325">
        <v>48.954166666666666</v>
      </c>
      <c r="J82" s="326">
        <f t="shared" si="12"/>
        <v>140.83854166666669</v>
      </c>
      <c r="K82" s="327">
        <f t="shared" si="13"/>
        <v>0</v>
      </c>
      <c r="L82" s="328">
        <v>43383</v>
      </c>
      <c r="M82" s="333">
        <f t="shared" si="14"/>
        <v>0</v>
      </c>
      <c r="N82" s="334">
        <v>7.3</v>
      </c>
      <c r="O82" s="335">
        <f t="shared" si="16"/>
        <v>0</v>
      </c>
      <c r="P82" s="335">
        <f t="shared" si="15"/>
        <v>1.1834669629057191</v>
      </c>
    </row>
    <row r="83" spans="1:16" ht="15" x14ac:dyDescent="0.25">
      <c r="A83" s="9">
        <v>1500</v>
      </c>
      <c r="B83" s="9">
        <v>8</v>
      </c>
      <c r="C83" s="324">
        <f>SUMIFS(Estimate!$S$187:$S$286,Estimate!$F$187:$F$286,'B&amp;G'!A83,Estimate!$E$187:$E$286,'B&amp;G'!B83)</f>
        <v>0</v>
      </c>
      <c r="D83" s="9">
        <v>12</v>
      </c>
      <c r="E83" s="137">
        <v>1.625</v>
      </c>
      <c r="F83" s="414">
        <v>11.75</v>
      </c>
      <c r="G83" s="414">
        <v>10.16</v>
      </c>
      <c r="H83" s="325">
        <v>11.387813620071682</v>
      </c>
      <c r="I83" s="325">
        <v>66.956666666666663</v>
      </c>
      <c r="J83" s="326">
        <f t="shared" si="12"/>
        <v>203.61043010752684</v>
      </c>
      <c r="K83" s="327">
        <f t="shared" si="13"/>
        <v>0</v>
      </c>
      <c r="L83" s="328">
        <v>43383</v>
      </c>
      <c r="M83" s="333">
        <f t="shared" si="14"/>
        <v>0</v>
      </c>
      <c r="N83" s="334">
        <v>7.3</v>
      </c>
      <c r="O83" s="335">
        <f t="shared" si="16"/>
        <v>0</v>
      </c>
      <c r="P83" s="335">
        <f t="shared" si="15"/>
        <v>1.1208477972511499</v>
      </c>
    </row>
    <row r="84" spans="1:16" ht="15" x14ac:dyDescent="0.25">
      <c r="A84" s="9">
        <v>1500</v>
      </c>
      <c r="B84" s="9">
        <v>10</v>
      </c>
      <c r="C84" s="324">
        <f>SUMIFS(Estimate!$S$187:$S$286,Estimate!$F$187:$F$286,'B&amp;G'!A84,Estimate!$E$187:$E$286,'B&amp;G'!B84)</f>
        <v>0</v>
      </c>
      <c r="D84" s="9">
        <v>16</v>
      </c>
      <c r="E84" s="137">
        <v>1.875</v>
      </c>
      <c r="F84" s="414">
        <v>13.5</v>
      </c>
      <c r="G84" s="414">
        <v>15.4</v>
      </c>
      <c r="H84" s="325">
        <v>17.183571428571426</v>
      </c>
      <c r="I84" s="325">
        <v>78.958333333333343</v>
      </c>
      <c r="J84" s="326">
        <f t="shared" si="12"/>
        <v>353.89547619047619</v>
      </c>
      <c r="K84" s="327">
        <f t="shared" si="13"/>
        <v>0</v>
      </c>
      <c r="L84" s="328">
        <v>43383</v>
      </c>
      <c r="M84" s="333">
        <f t="shared" si="14"/>
        <v>0</v>
      </c>
      <c r="N84" s="334">
        <v>7.3</v>
      </c>
      <c r="O84" s="335">
        <f t="shared" si="16"/>
        <v>0</v>
      </c>
      <c r="P84" s="335">
        <f t="shared" si="15"/>
        <v>1.115816326530612</v>
      </c>
    </row>
    <row r="85" spans="1:16" ht="15" x14ac:dyDescent="0.25">
      <c r="A85" s="9">
        <v>1500</v>
      </c>
      <c r="B85" s="9">
        <v>12</v>
      </c>
      <c r="C85" s="324">
        <f>SUMIFS(Estimate!$S$187:$S$286,Estimate!$F$187:$F$286,'B&amp;G'!A85,Estimate!$E$187:$E$286,'B&amp;G'!B85)</f>
        <v>0</v>
      </c>
      <c r="D85" s="9">
        <v>16</v>
      </c>
      <c r="E85" s="137">
        <v>2</v>
      </c>
      <c r="F85" s="414">
        <v>15</v>
      </c>
      <c r="G85" s="414">
        <v>19.350000000000001</v>
      </c>
      <c r="H85" s="325">
        <v>21.12</v>
      </c>
      <c r="I85" s="325">
        <v>94.75</v>
      </c>
      <c r="J85" s="326">
        <f t="shared" si="12"/>
        <v>432.67</v>
      </c>
      <c r="K85" s="327">
        <f t="shared" si="13"/>
        <v>0</v>
      </c>
      <c r="L85" s="328">
        <v>43383</v>
      </c>
      <c r="M85" s="333">
        <f t="shared" si="14"/>
        <v>0</v>
      </c>
      <c r="N85" s="334">
        <v>9.6999999999999993</v>
      </c>
      <c r="O85" s="335">
        <f t="shared" si="16"/>
        <v>0</v>
      </c>
      <c r="P85" s="335">
        <f t="shared" si="15"/>
        <v>1.0914728682170542</v>
      </c>
    </row>
    <row r="86" spans="1:16" ht="15" x14ac:dyDescent="0.25">
      <c r="A86" s="9">
        <v>1500</v>
      </c>
      <c r="B86" s="9">
        <v>14</v>
      </c>
      <c r="C86" s="324">
        <f>SUMIFS(Estimate!$S$187:$S$286,Estimate!$F$187:$F$286,'B&amp;G'!A86,Estimate!$E$187:$E$286,'B&amp;G'!B86)</f>
        <v>0</v>
      </c>
      <c r="D86" s="9">
        <v>20</v>
      </c>
      <c r="E86" s="137">
        <v>2.25</v>
      </c>
      <c r="F86" s="414">
        <v>16.25</v>
      </c>
      <c r="G86" s="414">
        <v>26.71</v>
      </c>
      <c r="H86" s="325">
        <v>50.153762505437143</v>
      </c>
      <c r="I86" s="325">
        <v>110.54166666666667</v>
      </c>
      <c r="J86" s="326">
        <f t="shared" si="12"/>
        <v>1113.6169167754097</v>
      </c>
      <c r="K86" s="327">
        <f t="shared" si="13"/>
        <v>0</v>
      </c>
      <c r="L86" s="328">
        <v>43383</v>
      </c>
      <c r="M86" s="333">
        <f t="shared" si="14"/>
        <v>0</v>
      </c>
      <c r="N86" s="334">
        <v>37.1</v>
      </c>
      <c r="O86" s="335">
        <f t="shared" si="16"/>
        <v>0</v>
      </c>
      <c r="P86" s="335">
        <f t="shared" si="15"/>
        <v>1.877714807391881</v>
      </c>
    </row>
    <row r="87" spans="1:16" ht="15" x14ac:dyDescent="0.25">
      <c r="A87" s="9">
        <v>1500</v>
      </c>
      <c r="B87" s="9">
        <v>16</v>
      </c>
      <c r="C87" s="324">
        <f>SUMIFS(Estimate!$S$187:$S$286,Estimate!$F$187:$F$286,'B&amp;G'!A87,Estimate!$E$187:$E$286,'B&amp;G'!B87)</f>
        <v>0</v>
      </c>
      <c r="D87" s="9">
        <v>20</v>
      </c>
      <c r="E87" s="137">
        <v>2.5</v>
      </c>
      <c r="F87" s="414">
        <v>17.75</v>
      </c>
      <c r="G87" s="414">
        <v>36</v>
      </c>
      <c r="H87" s="325">
        <v>52.672764227642269</v>
      </c>
      <c r="I87" s="325">
        <v>142.125</v>
      </c>
      <c r="J87" s="326">
        <f t="shared" si="12"/>
        <v>1195.5802845528453</v>
      </c>
      <c r="K87" s="327">
        <f t="shared" si="13"/>
        <v>0</v>
      </c>
      <c r="L87" s="328">
        <v>43383</v>
      </c>
      <c r="M87" s="333">
        <f t="shared" si="14"/>
        <v>0</v>
      </c>
      <c r="N87" s="334">
        <v>40</v>
      </c>
      <c r="O87" s="335">
        <f t="shared" si="16"/>
        <v>0</v>
      </c>
      <c r="P87" s="335">
        <f t="shared" si="15"/>
        <v>1.4631323396567297</v>
      </c>
    </row>
    <row r="88" spans="1:16" ht="15" x14ac:dyDescent="0.25">
      <c r="A88" s="9">
        <v>1500</v>
      </c>
      <c r="B88" s="9">
        <v>18</v>
      </c>
      <c r="C88" s="324">
        <f>SUMIFS(Estimate!$S$187:$S$286,Estimate!$F$187:$F$286,'B&amp;G'!A88,Estimate!$E$187:$E$286,'B&amp;G'!B88)</f>
        <v>0</v>
      </c>
      <c r="D88" s="9">
        <v>24</v>
      </c>
      <c r="E88" s="137">
        <v>2.75</v>
      </c>
      <c r="F88" s="414">
        <v>19.5</v>
      </c>
      <c r="G88" s="414">
        <v>47.61</v>
      </c>
      <c r="H88" s="325">
        <v>70.017682926829266</v>
      </c>
      <c r="I88" s="325">
        <v>173.70833333333334</v>
      </c>
      <c r="J88" s="326">
        <f t="shared" si="12"/>
        <v>1854.1327235772358</v>
      </c>
      <c r="K88" s="327">
        <f t="shared" si="13"/>
        <v>0</v>
      </c>
      <c r="L88" s="328">
        <v>43383</v>
      </c>
      <c r="M88" s="333">
        <f t="shared" si="14"/>
        <v>0</v>
      </c>
      <c r="N88" s="334">
        <v>42.7</v>
      </c>
      <c r="O88" s="335">
        <f t="shared" si="16"/>
        <v>0</v>
      </c>
      <c r="P88" s="335">
        <f t="shared" si="15"/>
        <v>1.4706507651087852</v>
      </c>
    </row>
    <row r="89" spans="1:16" ht="15" x14ac:dyDescent="0.25">
      <c r="A89" s="9">
        <v>1500</v>
      </c>
      <c r="B89" s="9">
        <v>20</v>
      </c>
      <c r="C89" s="324">
        <f>SUMIFS(Estimate!$S$187:$S$286,Estimate!$F$187:$F$286,'B&amp;G'!A89,Estimate!$E$187:$E$286,'B&amp;G'!B89)</f>
        <v>0</v>
      </c>
      <c r="D89" s="9">
        <v>24</v>
      </c>
      <c r="E89" s="137">
        <v>3</v>
      </c>
      <c r="F89" s="414">
        <v>21.25</v>
      </c>
      <c r="G89" s="414">
        <v>61.6</v>
      </c>
      <c r="H89" s="325">
        <v>108.96585365853657</v>
      </c>
      <c r="I89" s="325">
        <v>205.29166666666669</v>
      </c>
      <c r="J89" s="326">
        <f t="shared" si="12"/>
        <v>2820.4721544715444</v>
      </c>
      <c r="K89" s="327">
        <f t="shared" si="13"/>
        <v>0</v>
      </c>
      <c r="L89" s="328">
        <v>43383</v>
      </c>
      <c r="M89" s="333">
        <f t="shared" si="14"/>
        <v>0</v>
      </c>
      <c r="N89" s="334">
        <v>45.4</v>
      </c>
      <c r="O89" s="335">
        <f t="shared" si="16"/>
        <v>0</v>
      </c>
      <c r="P89" s="335">
        <f t="shared" si="15"/>
        <v>1.7689261957554638</v>
      </c>
    </row>
    <row r="90" spans="1:16" ht="15" x14ac:dyDescent="0.25">
      <c r="A90" s="9">
        <v>1500</v>
      </c>
      <c r="B90" s="9">
        <v>24</v>
      </c>
      <c r="C90" s="324">
        <f>SUMIFS(Estimate!$S$187:$S$286,Estimate!$F$187:$F$286,'B&amp;G'!A90,Estimate!$E$187:$E$286,'B&amp;G'!B90)</f>
        <v>0</v>
      </c>
      <c r="D90" s="9">
        <v>24</v>
      </c>
      <c r="E90" s="137">
        <v>3.5</v>
      </c>
      <c r="F90" s="414">
        <v>24.25</v>
      </c>
      <c r="G90" s="414">
        <v>96.690000000000012</v>
      </c>
      <c r="H90" s="325">
        <v>169.25317073170726</v>
      </c>
      <c r="I90" s="325">
        <v>268.45833333333331</v>
      </c>
      <c r="J90" s="326">
        <f t="shared" si="12"/>
        <v>4330.5344308943077</v>
      </c>
      <c r="K90" s="327">
        <f t="shared" si="13"/>
        <v>0</v>
      </c>
      <c r="L90" s="328">
        <v>43383</v>
      </c>
      <c r="M90" s="333">
        <f t="shared" si="14"/>
        <v>0</v>
      </c>
      <c r="N90" s="334">
        <v>50.6</v>
      </c>
      <c r="O90" s="335">
        <f t="shared" si="16"/>
        <v>0</v>
      </c>
      <c r="P90" s="335">
        <f t="shared" si="15"/>
        <v>1.7504723418317016</v>
      </c>
    </row>
    <row r="91" spans="1:16" ht="15" x14ac:dyDescent="0.25">
      <c r="A91" s="9">
        <v>2500</v>
      </c>
      <c r="B91" s="9">
        <v>0.5</v>
      </c>
      <c r="C91" s="324">
        <f>SUMIFS(Estimate!$S$187:$S$286,Estimate!$F$187:$F$286,'B&amp;G'!A91,Estimate!$E$187:$E$286,'B&amp;G'!B91)</f>
        <v>0</v>
      </c>
      <c r="D91" s="9">
        <v>4</v>
      </c>
      <c r="E91" s="137">
        <v>0.75</v>
      </c>
      <c r="F91" s="414">
        <v>5</v>
      </c>
      <c r="G91" s="414">
        <v>1.03</v>
      </c>
      <c r="H91" s="325">
        <v>1.3153846153846154</v>
      </c>
      <c r="I91" s="325">
        <v>5.2638888888888893</v>
      </c>
      <c r="J91" s="326">
        <f t="shared" si="12"/>
        <v>10.52542735042735</v>
      </c>
      <c r="K91" s="327">
        <f t="shared" si="13"/>
        <v>0</v>
      </c>
      <c r="L91" s="328">
        <v>43767</v>
      </c>
      <c r="M91" s="333">
        <f t="shared" si="14"/>
        <v>0</v>
      </c>
      <c r="N91" s="334">
        <v>2.5</v>
      </c>
      <c r="O91" s="335">
        <f t="shared" si="16"/>
        <v>0</v>
      </c>
      <c r="P91" s="335">
        <f t="shared" si="15"/>
        <v>1.2770724421209858</v>
      </c>
    </row>
    <row r="92" spans="1:16" ht="15" x14ac:dyDescent="0.25">
      <c r="A92" s="9">
        <v>2500</v>
      </c>
      <c r="B92" s="9">
        <v>0.75</v>
      </c>
      <c r="C92" s="324">
        <f>SUMIFS(Estimate!$S$187:$S$286,Estimate!$F$187:$F$286,'B&amp;G'!A92,Estimate!$E$187:$E$286,'B&amp;G'!B92)</f>
        <v>0</v>
      </c>
      <c r="D92" s="9">
        <v>4</v>
      </c>
      <c r="E92" s="137">
        <v>0.75</v>
      </c>
      <c r="F92" s="414">
        <v>5.25</v>
      </c>
      <c r="G92" s="414">
        <v>1.06</v>
      </c>
      <c r="H92" s="325">
        <v>1.2700800000000003</v>
      </c>
      <c r="I92" s="325">
        <v>7.8958333333333339</v>
      </c>
      <c r="J92" s="326">
        <f t="shared" si="12"/>
        <v>12.976153333333336</v>
      </c>
      <c r="K92" s="327">
        <f t="shared" si="13"/>
        <v>0</v>
      </c>
      <c r="L92" s="328">
        <v>43767</v>
      </c>
      <c r="M92" s="333">
        <f t="shared" si="14"/>
        <v>0</v>
      </c>
      <c r="N92" s="334">
        <v>2.5</v>
      </c>
      <c r="O92" s="335">
        <f t="shared" si="16"/>
        <v>0</v>
      </c>
      <c r="P92" s="335">
        <f t="shared" si="15"/>
        <v>1.1981886792452832</v>
      </c>
    </row>
    <row r="93" spans="1:16" ht="15" x14ac:dyDescent="0.25">
      <c r="A93" s="9">
        <v>2500</v>
      </c>
      <c r="B93" s="9">
        <v>1</v>
      </c>
      <c r="C93" s="324">
        <f>SUMIFS(Estimate!$S$187:$S$286,Estimate!$F$187:$F$286,'B&amp;G'!A93,Estimate!$E$187:$E$286,'B&amp;G'!B93)</f>
        <v>0</v>
      </c>
      <c r="D93" s="9">
        <v>4</v>
      </c>
      <c r="E93" s="137">
        <v>0.875</v>
      </c>
      <c r="F93" s="414">
        <v>5.75</v>
      </c>
      <c r="G93" s="414">
        <v>1.59</v>
      </c>
      <c r="H93" s="325">
        <v>1.8933599999999999</v>
      </c>
      <c r="I93" s="325">
        <v>9.2776041666666664</v>
      </c>
      <c r="J93" s="326">
        <f t="shared" si="12"/>
        <v>16.851044166666668</v>
      </c>
      <c r="K93" s="327">
        <f t="shared" si="13"/>
        <v>0</v>
      </c>
      <c r="L93" s="328">
        <v>43767</v>
      </c>
      <c r="M93" s="333">
        <f t="shared" si="14"/>
        <v>0</v>
      </c>
      <c r="N93" s="334">
        <v>2.5</v>
      </c>
      <c r="O93" s="335">
        <f t="shared" si="16"/>
        <v>0</v>
      </c>
      <c r="P93" s="335">
        <f t="shared" si="15"/>
        <v>1.1907924528301885</v>
      </c>
    </row>
    <row r="94" spans="1:16" ht="15" x14ac:dyDescent="0.25">
      <c r="A94" s="9">
        <v>2500</v>
      </c>
      <c r="B94" s="9">
        <v>1.5</v>
      </c>
      <c r="C94" s="324">
        <f>SUMIFS(Estimate!$S$187:$S$286,Estimate!$F$187:$F$286,'B&amp;G'!A94,Estimate!$E$187:$E$286,'B&amp;G'!B94)</f>
        <v>0</v>
      </c>
      <c r="D94" s="9">
        <v>4</v>
      </c>
      <c r="E94" s="137">
        <v>1.125</v>
      </c>
      <c r="F94" s="414">
        <v>7</v>
      </c>
      <c r="G94" s="414">
        <v>3.1599999999999997</v>
      </c>
      <c r="H94" s="325">
        <v>3.7450000000000014</v>
      </c>
      <c r="I94" s="325">
        <v>11.84375</v>
      </c>
      <c r="J94" s="326">
        <f t="shared" si="12"/>
        <v>26.823750000000004</v>
      </c>
      <c r="K94" s="327">
        <f t="shared" si="13"/>
        <v>0</v>
      </c>
      <c r="L94" s="328">
        <v>43767</v>
      </c>
      <c r="M94" s="333">
        <f t="shared" si="14"/>
        <v>0</v>
      </c>
      <c r="N94" s="334">
        <v>2.5</v>
      </c>
      <c r="O94" s="335">
        <f t="shared" si="16"/>
        <v>0</v>
      </c>
      <c r="P94" s="335">
        <f t="shared" si="15"/>
        <v>1.1851265822784816</v>
      </c>
    </row>
    <row r="95" spans="1:16" ht="15" x14ac:dyDescent="0.25">
      <c r="A95" s="9">
        <v>2500</v>
      </c>
      <c r="B95" s="9">
        <v>2</v>
      </c>
      <c r="C95" s="324">
        <f>SUMIFS(Estimate!$S$187:$S$286,Estimate!$F$187:$F$286,'B&amp;G'!A95,Estimate!$E$187:$E$286,'B&amp;G'!B95)</f>
        <v>0</v>
      </c>
      <c r="D95" s="9">
        <v>8</v>
      </c>
      <c r="E95" s="137">
        <v>1</v>
      </c>
      <c r="F95" s="414">
        <v>7.25</v>
      </c>
      <c r="G95" s="414">
        <v>2.48</v>
      </c>
      <c r="H95" s="325">
        <v>2.8871111111111114</v>
      </c>
      <c r="I95" s="325">
        <v>23.6875</v>
      </c>
      <c r="J95" s="326">
        <f t="shared" si="12"/>
        <v>46.784388888888891</v>
      </c>
      <c r="K95" s="327">
        <f t="shared" si="13"/>
        <v>0</v>
      </c>
      <c r="L95" s="328">
        <v>43767</v>
      </c>
      <c r="M95" s="333">
        <f t="shared" si="14"/>
        <v>0</v>
      </c>
      <c r="N95" s="334">
        <v>5.3999999999999995</v>
      </c>
      <c r="O95" s="335">
        <f t="shared" si="16"/>
        <v>0</v>
      </c>
      <c r="P95" s="335">
        <f t="shared" si="15"/>
        <v>1.16415770609319</v>
      </c>
    </row>
    <row r="96" spans="1:16" ht="15" x14ac:dyDescent="0.25">
      <c r="A96" s="9">
        <v>2500</v>
      </c>
      <c r="B96" s="9">
        <v>3</v>
      </c>
      <c r="C96" s="324">
        <f>SUMIFS(Estimate!$S$187:$S$286,Estimate!$F$187:$F$286,'B&amp;G'!A96,Estimate!$E$187:$E$286,'B&amp;G'!B96)</f>
        <v>0</v>
      </c>
      <c r="D96" s="9">
        <v>8</v>
      </c>
      <c r="E96" s="137">
        <v>1.25</v>
      </c>
      <c r="F96" s="414">
        <v>9</v>
      </c>
      <c r="G96" s="414">
        <v>4.72</v>
      </c>
      <c r="H96" s="325">
        <f t="shared" ref="H96:H101" si="17">G96*1.2</f>
        <v>5.6639999999999997</v>
      </c>
      <c r="I96" s="325">
        <v>37.9</v>
      </c>
      <c r="J96" s="326">
        <f t="shared" si="12"/>
        <v>83.211999999999989</v>
      </c>
      <c r="K96" s="327">
        <f t="shared" si="13"/>
        <v>0</v>
      </c>
      <c r="L96" s="328">
        <v>43767</v>
      </c>
      <c r="M96" s="333">
        <f t="shared" si="14"/>
        <v>0</v>
      </c>
      <c r="N96" s="334">
        <v>7.1999999999999993</v>
      </c>
      <c r="O96" s="335">
        <f t="shared" si="16"/>
        <v>0</v>
      </c>
      <c r="P96" s="335">
        <f t="shared" si="15"/>
        <v>1.2</v>
      </c>
    </row>
    <row r="97" spans="1:16" ht="15" x14ac:dyDescent="0.25">
      <c r="A97" s="9">
        <v>2500</v>
      </c>
      <c r="B97" s="9">
        <v>4</v>
      </c>
      <c r="C97" s="324">
        <f>SUMIFS(Estimate!$S$187:$S$286,Estimate!$F$187:$F$286,'B&amp;G'!A97,Estimate!$E$187:$E$286,'B&amp;G'!B97)</f>
        <v>0</v>
      </c>
      <c r="D97" s="9">
        <v>8</v>
      </c>
      <c r="E97" s="137">
        <v>1.5</v>
      </c>
      <c r="F97" s="414">
        <v>10.25</v>
      </c>
      <c r="G97" s="414">
        <v>7.76</v>
      </c>
      <c r="H97" s="325">
        <f t="shared" si="17"/>
        <v>9.3119999999999994</v>
      </c>
      <c r="I97" s="325">
        <v>8.25</v>
      </c>
      <c r="J97" s="326">
        <f t="shared" si="12"/>
        <v>82.745999999999995</v>
      </c>
      <c r="K97" s="327">
        <f t="shared" si="13"/>
        <v>0</v>
      </c>
      <c r="L97" s="328">
        <v>45383</v>
      </c>
      <c r="M97" s="333">
        <f t="shared" si="14"/>
        <v>0</v>
      </c>
      <c r="N97" s="334">
        <v>5.6</v>
      </c>
      <c r="O97" s="335">
        <f t="shared" si="16"/>
        <v>0</v>
      </c>
      <c r="P97" s="335">
        <f t="shared" si="15"/>
        <v>1.2</v>
      </c>
    </row>
    <row r="98" spans="1:16" ht="15" x14ac:dyDescent="0.25">
      <c r="A98" s="9">
        <v>2500</v>
      </c>
      <c r="B98" s="9">
        <v>6</v>
      </c>
      <c r="C98" s="9">
        <f>SUMIFS(Estimate!$S$187:$S$286,Estimate!$F$187:$F$286,'B&amp;G'!A98,Estimate!$E$187:$E$286,'B&amp;G'!B98)</f>
        <v>0</v>
      </c>
      <c r="D98" s="9">
        <v>8</v>
      </c>
      <c r="E98" s="137">
        <v>2</v>
      </c>
      <c r="F98" s="414">
        <v>13.75</v>
      </c>
      <c r="G98" s="414">
        <v>18.240000000000002</v>
      </c>
      <c r="H98" s="325">
        <f t="shared" si="17"/>
        <v>21.888000000000002</v>
      </c>
      <c r="I98" s="325">
        <v>12.7</v>
      </c>
      <c r="J98" s="326">
        <f t="shared" ref="J98:J101" si="18">D98*H98+I98</f>
        <v>187.804</v>
      </c>
      <c r="K98" s="327">
        <f t="shared" ref="K98:K101" si="19">J98*C98</f>
        <v>0</v>
      </c>
      <c r="L98" s="328">
        <v>45383</v>
      </c>
      <c r="M98" s="333">
        <f t="shared" si="14"/>
        <v>0</v>
      </c>
      <c r="N98" s="334">
        <v>21.1</v>
      </c>
      <c r="O98" s="335">
        <f t="shared" si="16"/>
        <v>0</v>
      </c>
      <c r="P98" s="335">
        <f t="shared" si="15"/>
        <v>1.2</v>
      </c>
    </row>
    <row r="99" spans="1:16" ht="15" x14ac:dyDescent="0.25">
      <c r="A99" s="9">
        <v>2500</v>
      </c>
      <c r="B99" s="9">
        <v>8</v>
      </c>
      <c r="C99" s="9">
        <f>SUMIFS(Estimate!$S$187:$S$286,Estimate!$F$187:$F$286,'B&amp;G'!A99,Estimate!$E$187:$E$286,'B&amp;G'!B99)</f>
        <v>0</v>
      </c>
      <c r="D99" s="9">
        <v>12</v>
      </c>
      <c r="E99" s="137">
        <v>2</v>
      </c>
      <c r="F99" s="414">
        <v>15.25</v>
      </c>
      <c r="G99" s="414">
        <v>19.57</v>
      </c>
      <c r="H99" s="325">
        <f t="shared" si="17"/>
        <v>23.483999999999998</v>
      </c>
      <c r="I99" s="325">
        <v>15.4</v>
      </c>
      <c r="J99" s="326">
        <f t="shared" si="18"/>
        <v>297.20799999999997</v>
      </c>
      <c r="K99" s="327">
        <f t="shared" si="19"/>
        <v>0</v>
      </c>
      <c r="L99" s="328">
        <v>45383</v>
      </c>
      <c r="M99" s="333">
        <f t="shared" si="14"/>
        <v>0</v>
      </c>
      <c r="N99" s="334">
        <v>25.3</v>
      </c>
      <c r="O99" s="335">
        <f t="shared" si="16"/>
        <v>0</v>
      </c>
      <c r="P99" s="335">
        <f t="shared" si="15"/>
        <v>1.2</v>
      </c>
    </row>
    <row r="100" spans="1:16" ht="15" x14ac:dyDescent="0.25">
      <c r="A100" s="9">
        <v>2500</v>
      </c>
      <c r="B100" s="9">
        <v>10</v>
      </c>
      <c r="C100" s="9">
        <f>SUMIFS(Estimate!$S$187:$S$286,Estimate!$F$187:$F$286,'B&amp;G'!A100,Estimate!$E$187:$E$286,'B&amp;G'!B100)</f>
        <v>0</v>
      </c>
      <c r="D100" s="9">
        <v>12</v>
      </c>
      <c r="E100" s="137">
        <v>2.5</v>
      </c>
      <c r="F100" s="414">
        <v>19.25</v>
      </c>
      <c r="G100" s="414">
        <v>38.08</v>
      </c>
      <c r="H100" s="325">
        <f t="shared" si="17"/>
        <v>45.695999999999998</v>
      </c>
      <c r="I100" s="325">
        <v>157.91666666666669</v>
      </c>
      <c r="J100" s="326">
        <f t="shared" si="18"/>
        <v>706.2686666666666</v>
      </c>
      <c r="K100" s="327">
        <f t="shared" si="19"/>
        <v>0</v>
      </c>
      <c r="L100" s="328">
        <v>43767</v>
      </c>
      <c r="M100" s="333">
        <f t="shared" si="14"/>
        <v>0</v>
      </c>
      <c r="N100" s="334">
        <v>7.3</v>
      </c>
      <c r="O100" s="335">
        <f t="shared" si="16"/>
        <v>0</v>
      </c>
      <c r="P100" s="335">
        <f t="shared" si="15"/>
        <v>1.2</v>
      </c>
    </row>
    <row r="101" spans="1:16" ht="15" x14ac:dyDescent="0.25">
      <c r="A101" s="9">
        <v>2500</v>
      </c>
      <c r="B101" s="9">
        <v>12</v>
      </c>
      <c r="C101" s="9">
        <f>SUMIFS(Estimate!$S$187:$S$286,Estimate!$F$187:$F$286,'B&amp;G'!A101,Estimate!$E$187:$E$286,'B&amp;G'!B101)</f>
        <v>0</v>
      </c>
      <c r="D101" s="9">
        <v>12</v>
      </c>
      <c r="E101" s="137">
        <v>2.75</v>
      </c>
      <c r="F101" s="414">
        <v>21.25</v>
      </c>
      <c r="G101" s="414">
        <v>50.559999999999995</v>
      </c>
      <c r="H101" s="325">
        <f t="shared" si="17"/>
        <v>60.67199999999999</v>
      </c>
      <c r="I101" s="325">
        <v>189.5</v>
      </c>
      <c r="J101" s="326">
        <f t="shared" si="18"/>
        <v>917.56399999999985</v>
      </c>
      <c r="K101" s="327">
        <f t="shared" si="19"/>
        <v>0</v>
      </c>
      <c r="L101" s="328">
        <v>43767</v>
      </c>
      <c r="M101" s="333">
        <f t="shared" si="14"/>
        <v>0</v>
      </c>
      <c r="N101" s="334">
        <v>10</v>
      </c>
      <c r="O101" s="335">
        <f t="shared" si="16"/>
        <v>0</v>
      </c>
      <c r="P101" s="335">
        <f t="shared" si="15"/>
        <v>1.2</v>
      </c>
    </row>
    <row r="102" spans="1:16" ht="15" x14ac:dyDescent="0.25">
      <c r="A102" s="8" t="s">
        <v>15</v>
      </c>
      <c r="B102" s="330"/>
      <c r="E102" s="333"/>
      <c r="F102" s="333"/>
      <c r="G102" s="333"/>
      <c r="K102" s="132">
        <f>SUM(K2:K101)</f>
        <v>0</v>
      </c>
      <c r="M102" s="333"/>
      <c r="N102" s="333"/>
      <c r="O102" s="333">
        <f>SUM(O2:O101)</f>
        <v>0</v>
      </c>
      <c r="P102" s="333"/>
    </row>
    <row r="103" spans="1:16" ht="15" x14ac:dyDescent="0.25">
      <c r="A103" s="9" t="s">
        <v>12</v>
      </c>
      <c r="E103" s="333"/>
      <c r="F103" s="333"/>
      <c r="G103" s="333"/>
      <c r="K103" s="331">
        <v>1.5</v>
      </c>
      <c r="M103" s="333"/>
      <c r="N103" s="333"/>
      <c r="O103" s="329">
        <v>75</v>
      </c>
      <c r="P103" s="329"/>
    </row>
    <row r="104" spans="1:16" ht="15" x14ac:dyDescent="0.25">
      <c r="A104" s="29" t="s">
        <v>9</v>
      </c>
      <c r="E104" s="137"/>
      <c r="F104" s="137"/>
      <c r="G104" s="137"/>
      <c r="K104" s="332">
        <f>K102*K103</f>
        <v>0</v>
      </c>
      <c r="M104" s="333"/>
      <c r="N104" s="333"/>
      <c r="O104" s="332">
        <f>O102*O103</f>
        <v>0</v>
      </c>
      <c r="P104" s="332"/>
    </row>
    <row r="106" spans="1:16" x14ac:dyDescent="0.2">
      <c r="A106" s="9" t="s">
        <v>690</v>
      </c>
    </row>
    <row r="107" spans="1:16" x14ac:dyDescent="0.2">
      <c r="A107" s="330" t="s">
        <v>694</v>
      </c>
      <c r="D107" s="137">
        <v>1</v>
      </c>
    </row>
    <row r="108" spans="1:16" x14ac:dyDescent="0.2">
      <c r="A108" s="330" t="s">
        <v>695</v>
      </c>
    </row>
  </sheetData>
  <autoFilter ref="A1:P108" xr:uid="{A2AA7F78-6A53-47AB-A7DC-DBFFFEBFB687}"/>
  <phoneticPr fontId="0" type="noConversion"/>
  <pageMargins left="0.5" right="0.5" top="1" bottom="0.75" header="0.25" footer="0.3"/>
  <pageSetup paperSize="3" fitToHeight="0" orientation="landscape" r:id="rId1"/>
  <headerFooter>
    <oddFooter>&amp;C&amp;P of &amp;N&amp;R&amp;F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">
    <tabColor theme="1"/>
    <pageSetUpPr fitToPage="1"/>
  </sheetPr>
  <dimension ref="A1:K50"/>
  <sheetViews>
    <sheetView zoomScaleNormal="100" workbookViewId="0">
      <selection activeCell="D18" sqref="D18"/>
    </sheetView>
  </sheetViews>
  <sheetFormatPr defaultColWidth="8.7109375" defaultRowHeight="12.75" x14ac:dyDescent="0.2"/>
  <cols>
    <col min="1" max="2" width="5.28515625" style="2" customWidth="1"/>
    <col min="3" max="3" width="26.28515625" style="2" bestFit="1" customWidth="1"/>
    <col min="4" max="4" width="9.7109375" style="2" customWidth="1"/>
    <col min="5" max="5" width="8.7109375" style="2"/>
    <col min="6" max="6" width="19.140625" style="2" customWidth="1"/>
    <col min="7" max="16384" width="8.7109375" style="2"/>
  </cols>
  <sheetData>
    <row r="1" spans="1:11" x14ac:dyDescent="0.2">
      <c r="A1" s="10" t="s">
        <v>48</v>
      </c>
      <c r="B1" s="10" t="s">
        <v>49</v>
      </c>
      <c r="C1" s="10" t="s">
        <v>47</v>
      </c>
      <c r="D1" s="10" t="s">
        <v>45</v>
      </c>
      <c r="F1" s="129" t="s">
        <v>126</v>
      </c>
      <c r="G1" s="68"/>
      <c r="H1" s="68"/>
      <c r="I1" s="68"/>
      <c r="J1" s="68"/>
      <c r="K1" s="107"/>
    </row>
    <row r="2" spans="1:11" ht="13.5" thickBot="1" x14ac:dyDescent="0.25">
      <c r="A2" s="362" t="s">
        <v>46</v>
      </c>
      <c r="B2" s="157"/>
      <c r="C2" s="157"/>
      <c r="D2" s="157"/>
      <c r="F2" s="107"/>
      <c r="G2" s="107"/>
      <c r="H2" s="107"/>
      <c r="I2" s="107"/>
      <c r="J2" s="107"/>
      <c r="K2" s="107"/>
    </row>
    <row r="3" spans="1:11" ht="13.5" thickBot="1" x14ac:dyDescent="0.25">
      <c r="B3" s="151" t="s">
        <v>83</v>
      </c>
      <c r="C3" s="152"/>
      <c r="D3" s="154">
        <f>AVERAGE(D4:D7)</f>
        <v>34.5</v>
      </c>
      <c r="F3" s="68" t="s">
        <v>127</v>
      </c>
      <c r="G3" s="68" t="s">
        <v>130</v>
      </c>
      <c r="H3" s="79" t="s">
        <v>129</v>
      </c>
      <c r="I3" s="79"/>
      <c r="J3" s="68"/>
      <c r="K3" s="107"/>
    </row>
    <row r="4" spans="1:11" x14ac:dyDescent="0.2">
      <c r="A4" s="1"/>
      <c r="B4" s="153"/>
      <c r="C4" s="156" t="s">
        <v>208</v>
      </c>
      <c r="D4" s="231">
        <v>38</v>
      </c>
      <c r="F4" s="68" t="s">
        <v>128</v>
      </c>
      <c r="G4" s="68" t="s">
        <v>117</v>
      </c>
      <c r="H4" s="68" t="s">
        <v>119</v>
      </c>
      <c r="I4" s="68" t="s">
        <v>116</v>
      </c>
      <c r="J4" s="68" t="s">
        <v>128</v>
      </c>
      <c r="K4" s="107"/>
    </row>
    <row r="5" spans="1:11" x14ac:dyDescent="0.2">
      <c r="A5" s="1"/>
      <c r="B5" s="153"/>
      <c r="C5" s="3" t="s">
        <v>25</v>
      </c>
      <c r="D5" s="232">
        <v>36</v>
      </c>
      <c r="F5" s="181">
        <f>IF(sch_Mech_Mo&gt;=H5,J5,0)</f>
        <v>1.0892857142857142</v>
      </c>
      <c r="G5" s="182" t="s">
        <v>131</v>
      </c>
      <c r="H5" s="183">
        <f>4/4.33</f>
        <v>0.92378752886836024</v>
      </c>
      <c r="I5" s="183" t="s">
        <v>118</v>
      </c>
      <c r="J5" s="184">
        <f>(30.5/28)</f>
        <v>1.0892857142857142</v>
      </c>
      <c r="K5" s="107"/>
    </row>
    <row r="6" spans="1:11" x14ac:dyDescent="0.2">
      <c r="A6" s="1"/>
      <c r="B6" s="153"/>
      <c r="C6" s="3" t="s">
        <v>27</v>
      </c>
      <c r="D6" s="232">
        <v>36</v>
      </c>
      <c r="F6" s="7">
        <f>IF(AND(sch_Mech_Mo&gt;=H6,sch_Mech_Mo&lt;I6),J6,0)</f>
        <v>0</v>
      </c>
      <c r="G6" s="182" t="s">
        <v>114</v>
      </c>
      <c r="H6" s="183">
        <f>1/4.33</f>
        <v>0.23094688221709006</v>
      </c>
      <c r="I6" s="183">
        <f>4/4.33</f>
        <v>0.92378752886836024</v>
      </c>
      <c r="J6" s="184">
        <v>3</v>
      </c>
      <c r="K6" s="107"/>
    </row>
    <row r="7" spans="1:11" x14ac:dyDescent="0.2">
      <c r="A7" s="1"/>
      <c r="B7" s="153"/>
      <c r="C7" s="3" t="s">
        <v>206</v>
      </c>
      <c r="D7" s="232">
        <v>28</v>
      </c>
      <c r="F7" s="7">
        <f>IF(sch_Mech_Mo&lt;I7,J7,0)</f>
        <v>0</v>
      </c>
      <c r="G7" s="182" t="s">
        <v>115</v>
      </c>
      <c r="H7" s="183" t="s">
        <v>120</v>
      </c>
      <c r="I7" s="183">
        <f>1/4.33</f>
        <v>0.23094688221709006</v>
      </c>
      <c r="J7" s="184">
        <v>6</v>
      </c>
      <c r="K7" s="107"/>
    </row>
    <row r="8" spans="1:11" x14ac:dyDescent="0.2">
      <c r="A8" s="1"/>
      <c r="B8" s="153"/>
      <c r="C8" s="1" t="s">
        <v>84</v>
      </c>
      <c r="D8" s="233"/>
      <c r="F8" s="108"/>
      <c r="G8" s="108"/>
      <c r="H8" s="108"/>
      <c r="I8" s="108"/>
      <c r="J8" s="107"/>
      <c r="K8" s="107"/>
    </row>
    <row r="9" spans="1:11" ht="13.5" thickBot="1" x14ac:dyDescent="0.25">
      <c r="A9" s="1"/>
      <c r="B9" s="153"/>
      <c r="C9" s="155" t="s">
        <v>24</v>
      </c>
      <c r="D9" s="234">
        <v>38</v>
      </c>
      <c r="F9" s="89">
        <f>ROUNDUP(SUM(F5:F7),1)</f>
        <v>1.1000000000000001</v>
      </c>
      <c r="G9" s="8" t="s">
        <v>122</v>
      </c>
      <c r="H9" s="108"/>
      <c r="I9" s="108"/>
      <c r="J9" s="179"/>
      <c r="K9" s="107"/>
    </row>
    <row r="10" spans="1:11" ht="13.5" thickBot="1" x14ac:dyDescent="0.25">
      <c r="B10" s="151" t="s">
        <v>82</v>
      </c>
      <c r="C10" s="152"/>
      <c r="D10" s="235">
        <f>AVERAGE(D11:D14)</f>
        <v>34.5</v>
      </c>
      <c r="F10" s="32" t="s">
        <v>123</v>
      </c>
      <c r="G10" s="8" t="s">
        <v>124</v>
      </c>
      <c r="H10" s="108"/>
      <c r="I10" s="108"/>
      <c r="J10" s="179"/>
      <c r="K10" s="107"/>
    </row>
    <row r="11" spans="1:11" ht="13.5" thickBot="1" x14ac:dyDescent="0.25">
      <c r="A11" s="1"/>
      <c r="B11" s="153"/>
      <c r="C11" s="3" t="s">
        <v>205</v>
      </c>
      <c r="D11" s="232">
        <v>38</v>
      </c>
      <c r="F11" s="108"/>
      <c r="G11" s="8" t="s">
        <v>121</v>
      </c>
      <c r="H11" s="108"/>
      <c r="I11" s="108"/>
      <c r="J11" s="107"/>
      <c r="K11" s="107"/>
    </row>
    <row r="12" spans="1:11" ht="13.5" thickBot="1" x14ac:dyDescent="0.25">
      <c r="A12" s="1"/>
      <c r="B12" s="153"/>
      <c r="C12" s="3" t="s">
        <v>32</v>
      </c>
      <c r="D12" s="232">
        <v>36</v>
      </c>
      <c r="F12" s="180">
        <f>ROUNDUP(IF(F10="No",F9,J5),1)</f>
        <v>1.1000000000000001</v>
      </c>
      <c r="G12" s="8" t="s">
        <v>125</v>
      </c>
      <c r="H12" s="107"/>
      <c r="I12" s="107"/>
      <c r="J12" s="107"/>
      <c r="K12" s="107"/>
    </row>
    <row r="13" spans="1:11" x14ac:dyDescent="0.2">
      <c r="A13" s="1"/>
      <c r="B13" s="153"/>
      <c r="C13" s="3" t="s">
        <v>32</v>
      </c>
      <c r="D13" s="232">
        <v>36</v>
      </c>
      <c r="F13" s="107"/>
      <c r="G13" s="107"/>
      <c r="H13" s="107"/>
      <c r="I13" s="107"/>
      <c r="J13" s="107"/>
      <c r="K13" s="107"/>
    </row>
    <row r="14" spans="1:11" ht="13.5" thickBot="1" x14ac:dyDescent="0.25">
      <c r="A14" s="1"/>
      <c r="B14" s="153"/>
      <c r="C14" s="3" t="s">
        <v>207</v>
      </c>
      <c r="D14" s="232">
        <v>28</v>
      </c>
      <c r="F14" s="185" t="s">
        <v>132</v>
      </c>
      <c r="G14" s="107"/>
      <c r="H14" s="107"/>
      <c r="I14" s="107"/>
      <c r="J14" s="107"/>
      <c r="K14" s="107"/>
    </row>
    <row r="15" spans="1:11" ht="13.5" thickBot="1" x14ac:dyDescent="0.25">
      <c r="B15" s="151" t="s">
        <v>778</v>
      </c>
      <c r="C15" s="152"/>
      <c r="D15" s="235" t="s">
        <v>13</v>
      </c>
    </row>
    <row r="16" spans="1:11" x14ac:dyDescent="0.2">
      <c r="A16" s="1"/>
      <c r="B16" s="153"/>
      <c r="C16" s="3" t="s">
        <v>23</v>
      </c>
      <c r="D16" s="232">
        <v>42</v>
      </c>
      <c r="F16" s="174" t="s">
        <v>101</v>
      </c>
      <c r="G16" s="132"/>
      <c r="H16" s="131"/>
      <c r="I16" s="131"/>
      <c r="J16"/>
      <c r="K16"/>
    </row>
    <row r="17" spans="1:11" x14ac:dyDescent="0.2">
      <c r="A17" s="1"/>
      <c r="B17" s="153"/>
      <c r="C17" s="3" t="s">
        <v>26</v>
      </c>
      <c r="D17" s="232">
        <v>38</v>
      </c>
      <c r="F17" s="1"/>
      <c r="G17" s="132"/>
      <c r="H17" s="131"/>
      <c r="I17" s="131"/>
      <c r="J17"/>
      <c r="K17"/>
    </row>
    <row r="18" spans="1:11" x14ac:dyDescent="0.2">
      <c r="A18" s="1"/>
      <c r="B18" s="153"/>
      <c r="C18" s="3" t="s">
        <v>369</v>
      </c>
      <c r="D18" s="4">
        <v>37</v>
      </c>
      <c r="F18" s="1"/>
      <c r="G18" s="132"/>
      <c r="H18" s="131"/>
      <c r="I18" s="131"/>
      <c r="J18"/>
      <c r="K18"/>
    </row>
    <row r="19" spans="1:11" x14ac:dyDescent="0.2">
      <c r="A19" s="1"/>
      <c r="B19" s="153"/>
      <c r="C19" s="3" t="s">
        <v>40</v>
      </c>
      <c r="D19" s="4">
        <v>34</v>
      </c>
      <c r="F19" s="1"/>
      <c r="G19" s="132"/>
      <c r="H19" s="131"/>
      <c r="I19" s="131"/>
      <c r="J19"/>
      <c r="K19"/>
    </row>
    <row r="20" spans="1:11" x14ac:dyDescent="0.2">
      <c r="A20" s="1"/>
      <c r="B20" s="153"/>
      <c r="C20" s="3" t="s">
        <v>41</v>
      </c>
      <c r="D20" s="4">
        <v>28</v>
      </c>
      <c r="F20" s="1"/>
      <c r="G20" s="132"/>
      <c r="H20" s="131"/>
      <c r="I20" s="131"/>
      <c r="J20"/>
      <c r="K20"/>
    </row>
    <row r="21" spans="1:11" x14ac:dyDescent="0.2">
      <c r="A21" s="1"/>
      <c r="B21" s="153"/>
      <c r="C21" s="3" t="s">
        <v>29</v>
      </c>
      <c r="D21" s="232">
        <v>18</v>
      </c>
      <c r="J21"/>
    </row>
    <row r="22" spans="1:11" ht="13.5" thickBot="1" x14ac:dyDescent="0.25">
      <c r="A22" s="1"/>
      <c r="B22" s="153"/>
      <c r="C22" s="3" t="s">
        <v>28</v>
      </c>
      <c r="D22" s="232">
        <v>24</v>
      </c>
      <c r="F22" s="1" t="s">
        <v>100</v>
      </c>
      <c r="J22"/>
      <c r="K22" s="1" t="s">
        <v>102</v>
      </c>
    </row>
    <row r="23" spans="1:11" ht="13.5" thickBot="1" x14ac:dyDescent="0.25">
      <c r="A23" s="1"/>
      <c r="B23" s="151" t="s">
        <v>50</v>
      </c>
      <c r="C23" s="152"/>
      <c r="D23" s="235">
        <f>AVERAGE(D24:D25)</f>
        <v>30</v>
      </c>
      <c r="F23" s="65" t="s">
        <v>99</v>
      </c>
      <c r="G23" s="175" t="s">
        <v>688</v>
      </c>
      <c r="H23" s="175" t="s">
        <v>93</v>
      </c>
      <c r="I23" s="175" t="s">
        <v>9</v>
      </c>
      <c r="J23"/>
      <c r="K23" s="175" t="s">
        <v>688</v>
      </c>
    </row>
    <row r="24" spans="1:11" x14ac:dyDescent="0.2">
      <c r="A24" s="1"/>
      <c r="B24" s="153"/>
      <c r="C24" s="3" t="s">
        <v>30</v>
      </c>
      <c r="D24" s="232">
        <v>32</v>
      </c>
      <c r="F24" s="1" t="s">
        <v>45</v>
      </c>
      <c r="G24" s="173">
        <v>1</v>
      </c>
      <c r="H24" s="131"/>
      <c r="I24" s="166">
        <f t="shared" ref="I24:I29" si="0">SUM(G24:H24)</f>
        <v>1</v>
      </c>
      <c r="J24"/>
      <c r="K24" s="173">
        <v>1</v>
      </c>
    </row>
    <row r="25" spans="1:11" x14ac:dyDescent="0.2">
      <c r="A25" s="1"/>
      <c r="B25" s="153"/>
      <c r="C25" s="3" t="s">
        <v>31</v>
      </c>
      <c r="D25" s="232">
        <v>28</v>
      </c>
      <c r="F25" s="1" t="s">
        <v>73</v>
      </c>
      <c r="G25" s="132"/>
      <c r="H25" s="161">
        <f>SUM(Estimate!S784:S785)*G24</f>
        <v>0.1</v>
      </c>
      <c r="I25" s="166">
        <f t="shared" si="0"/>
        <v>0.1</v>
      </c>
      <c r="J25"/>
      <c r="K25" s="132"/>
    </row>
    <row r="26" spans="1:11" ht="13.5" thickBot="1" x14ac:dyDescent="0.25">
      <c r="A26" s="1"/>
      <c r="C26" s="5"/>
      <c r="D26" s="238"/>
      <c r="F26" s="1" t="s">
        <v>94</v>
      </c>
      <c r="G26" s="172">
        <f>Estimate!S834</f>
        <v>0.22558529668176414</v>
      </c>
      <c r="H26" s="131"/>
      <c r="I26" s="166">
        <f t="shared" si="0"/>
        <v>0.22558529668176414</v>
      </c>
      <c r="J26"/>
      <c r="K26" s="172">
        <f>Estimate!$S$836</f>
        <v>0.39232347050858818</v>
      </c>
    </row>
    <row r="27" spans="1:11" ht="13.5" thickBot="1" x14ac:dyDescent="0.25">
      <c r="A27" s="1"/>
      <c r="B27" s="151" t="s">
        <v>58</v>
      </c>
      <c r="C27" s="152"/>
      <c r="D27" s="235">
        <f>D28</f>
        <v>28</v>
      </c>
      <c r="F27" s="162" t="s">
        <v>95</v>
      </c>
      <c r="G27" s="171">
        <f>Estimate!$S838*(G24+0.5*G26)</f>
        <v>0.11127926483408832</v>
      </c>
      <c r="H27" s="163"/>
      <c r="I27" s="167">
        <f t="shared" si="0"/>
        <v>0.11127926483408832</v>
      </c>
      <c r="J27"/>
      <c r="K27" s="171">
        <f>Estimate!$S853*(K24+0.5*K26)</f>
        <v>0</v>
      </c>
    </row>
    <row r="28" spans="1:11" x14ac:dyDescent="0.2">
      <c r="A28" s="1"/>
      <c r="B28" s="153"/>
      <c r="C28" s="3" t="s">
        <v>91</v>
      </c>
      <c r="D28" s="232">
        <v>28</v>
      </c>
      <c r="F28" s="1" t="s">
        <v>689</v>
      </c>
      <c r="G28" s="165">
        <f>SUBTOTAL(9,G24:G27)</f>
        <v>1.3368645615158525</v>
      </c>
      <c r="H28" s="165">
        <f>SUBTOTAL(9,H24:H27)</f>
        <v>0.1</v>
      </c>
      <c r="I28" s="166">
        <f t="shared" si="0"/>
        <v>1.4368645615158526</v>
      </c>
      <c r="J28"/>
      <c r="K28" s="165">
        <f>SUBTOTAL(9,K24:K27)</f>
        <v>1.3923234705085883</v>
      </c>
    </row>
    <row r="29" spans="1:11" x14ac:dyDescent="0.2">
      <c r="A29" s="1"/>
      <c r="C29" s="5"/>
      <c r="D29" s="6"/>
      <c r="F29" s="1" t="s">
        <v>687</v>
      </c>
      <c r="G29" s="165">
        <f>(1+Estimate!$X$846)*(1+Estimate!$X$849)*(1+Estimate!$X$851)</f>
        <v>1.2133800000000001</v>
      </c>
      <c r="H29" s="165">
        <f>(1+Estimate!$AA$846)*(1+Estimate!$AA$849)*(1+Estimate!$AA$851)</f>
        <v>1.1576250000000001</v>
      </c>
      <c r="I29" s="166">
        <f t="shared" si="0"/>
        <v>2.3710050000000003</v>
      </c>
      <c r="J29"/>
      <c r="K29" s="165">
        <f>(1+Estimate!$X$846)*(1+Estimate!$X$849)*(1+Estimate!$X$851)</f>
        <v>1.2133800000000001</v>
      </c>
    </row>
    <row r="30" spans="1:11" x14ac:dyDescent="0.2">
      <c r="A30" s="362" t="s">
        <v>22</v>
      </c>
      <c r="B30" s="157"/>
      <c r="C30" s="157"/>
      <c r="D30" s="157"/>
      <c r="J30"/>
    </row>
    <row r="31" spans="1:11" x14ac:dyDescent="0.2">
      <c r="A31" s="1"/>
      <c r="B31" s="153"/>
      <c r="C31" s="3" t="s">
        <v>33</v>
      </c>
      <c r="D31" s="4">
        <v>80</v>
      </c>
      <c r="F31" s="1" t="s">
        <v>98</v>
      </c>
      <c r="G31" s="165">
        <f>G28*G29</f>
        <v>1.6221247216521053</v>
      </c>
      <c r="H31" s="165">
        <f>H28*H29</f>
        <v>0.11576250000000002</v>
      </c>
      <c r="I31" s="166">
        <f>SUM(G31:H31)</f>
        <v>1.7378872216521053</v>
      </c>
      <c r="J31"/>
      <c r="K31" s="165">
        <f>K28*K29</f>
        <v>1.6894174526457111</v>
      </c>
    </row>
    <row r="32" spans="1:11" ht="13.5" thickBot="1" x14ac:dyDescent="0.25">
      <c r="A32" s="1"/>
      <c r="B32" s="153"/>
      <c r="C32" s="3" t="s">
        <v>34</v>
      </c>
      <c r="D32" s="4">
        <v>70</v>
      </c>
      <c r="F32" s="162" t="s">
        <v>97</v>
      </c>
      <c r="G32" s="169"/>
      <c r="H32" s="170">
        <f>Estimate!AC919*H28</f>
        <v>0</v>
      </c>
      <c r="I32" s="167">
        <f>SUM(G32:H32)</f>
        <v>0</v>
      </c>
      <c r="J32"/>
      <c r="K32" s="169"/>
    </row>
    <row r="33" spans="1:11" x14ac:dyDescent="0.2">
      <c r="A33" s="1"/>
      <c r="B33" s="153"/>
      <c r="C33" s="3" t="s">
        <v>35</v>
      </c>
      <c r="D33" s="4">
        <v>85</v>
      </c>
      <c r="F33" s="1" t="s">
        <v>9</v>
      </c>
      <c r="G33" s="164">
        <f>SUM(G31:G32)</f>
        <v>1.6221247216521053</v>
      </c>
      <c r="H33" s="165">
        <f>SUM(H31:H32)</f>
        <v>0.11576250000000002</v>
      </c>
      <c r="I33" s="168">
        <f>SUM(I31:I32)</f>
        <v>1.7378872216521053</v>
      </c>
      <c r="J33"/>
      <c r="K33" s="164">
        <f>SUM(K31:K32)</f>
        <v>1.6894174526457111</v>
      </c>
    </row>
    <row r="34" spans="1:11" x14ac:dyDescent="0.2">
      <c r="A34" s="1"/>
      <c r="B34" s="153"/>
      <c r="C34" s="3" t="s">
        <v>36</v>
      </c>
      <c r="D34" s="4">
        <v>60</v>
      </c>
    </row>
    <row r="35" spans="1:11" x14ac:dyDescent="0.2">
      <c r="A35" s="1"/>
      <c r="B35" s="153"/>
      <c r="C35" s="3" t="s">
        <v>10</v>
      </c>
      <c r="D35" s="4">
        <v>55</v>
      </c>
    </row>
    <row r="36" spans="1:11" x14ac:dyDescent="0.2">
      <c r="A36" s="1"/>
      <c r="B36" s="153"/>
      <c r="C36" s="3" t="s">
        <v>37</v>
      </c>
      <c r="D36" s="4">
        <v>50</v>
      </c>
    </row>
    <row r="37" spans="1:11" x14ac:dyDescent="0.2">
      <c r="A37" s="1"/>
      <c r="B37" s="153"/>
      <c r="C37" s="3" t="s">
        <v>53</v>
      </c>
      <c r="D37" s="4">
        <v>58</v>
      </c>
    </row>
    <row r="38" spans="1:11" x14ac:dyDescent="0.2">
      <c r="A38" s="1"/>
      <c r="B38" s="153"/>
      <c r="C38" s="3" t="s">
        <v>38</v>
      </c>
      <c r="D38" s="4">
        <v>45</v>
      </c>
    </row>
    <row r="39" spans="1:11" x14ac:dyDescent="0.2">
      <c r="A39" s="1"/>
      <c r="B39" s="153"/>
      <c r="C39" s="3" t="s">
        <v>74</v>
      </c>
      <c r="D39" s="4">
        <v>55</v>
      </c>
    </row>
    <row r="40" spans="1:11" ht="13.9" customHeight="1" x14ac:dyDescent="0.2">
      <c r="A40" s="1"/>
      <c r="B40" s="153"/>
      <c r="C40" s="3" t="s">
        <v>54</v>
      </c>
      <c r="D40" s="4">
        <v>50</v>
      </c>
    </row>
    <row r="41" spans="1:11" x14ac:dyDescent="0.2">
      <c r="A41" s="1"/>
      <c r="B41" s="153"/>
      <c r="C41" s="3" t="s">
        <v>75</v>
      </c>
      <c r="D41" s="4">
        <v>55</v>
      </c>
    </row>
    <row r="42" spans="1:11" x14ac:dyDescent="0.2">
      <c r="A42" s="1"/>
      <c r="B42" s="153"/>
      <c r="C42" s="3" t="s">
        <v>55</v>
      </c>
      <c r="D42" s="4">
        <v>44</v>
      </c>
    </row>
    <row r="43" spans="1:11" x14ac:dyDescent="0.2">
      <c r="A43" s="1"/>
      <c r="B43" s="153"/>
      <c r="C43" s="3" t="s">
        <v>39</v>
      </c>
      <c r="D43" s="4">
        <v>50</v>
      </c>
    </row>
    <row r="44" spans="1:11" x14ac:dyDescent="0.2">
      <c r="A44" s="1"/>
      <c r="B44" s="153"/>
      <c r="C44" s="3" t="s">
        <v>56</v>
      </c>
      <c r="D44" s="4">
        <v>30</v>
      </c>
    </row>
    <row r="45" spans="1:11" x14ac:dyDescent="0.2">
      <c r="A45" s="1"/>
      <c r="B45" s="153"/>
    </row>
    <row r="46" spans="1:11" x14ac:dyDescent="0.2">
      <c r="A46" s="1"/>
      <c r="B46" s="153"/>
    </row>
    <row r="47" spans="1:11" x14ac:dyDescent="0.2">
      <c r="A47" s="1"/>
      <c r="B47" s="153"/>
    </row>
    <row r="48" spans="1:11" x14ac:dyDescent="0.2">
      <c r="A48" s="1"/>
      <c r="B48" s="153"/>
      <c r="C48" s="3" t="s">
        <v>42</v>
      </c>
      <c r="D48" s="4">
        <v>32</v>
      </c>
    </row>
    <row r="49" spans="1:4" x14ac:dyDescent="0.2">
      <c r="A49" s="1"/>
      <c r="B49" s="153"/>
      <c r="C49" s="3" t="s">
        <v>43</v>
      </c>
      <c r="D49" s="4">
        <v>26</v>
      </c>
    </row>
    <row r="50" spans="1:4" x14ac:dyDescent="0.2">
      <c r="A50" s="1"/>
      <c r="B50" s="153"/>
      <c r="C50" s="3" t="s">
        <v>44</v>
      </c>
      <c r="D50" s="4">
        <v>28</v>
      </c>
    </row>
  </sheetData>
  <dataValidations disablePrompts="1" count="1">
    <dataValidation type="list" allowBlank="1" showInputMessage="1" showErrorMessage="1" sqref="F10" xr:uid="{AD92C60B-E89E-423D-AD49-A41D07C68805}">
      <formula1>"Yes,No"</formula1>
    </dataValidation>
  </dataValidations>
  <pageMargins left="0.5" right="0.5" top="1" bottom="0.75" header="0.25" footer="0.3"/>
  <pageSetup paperSize="3" fitToHeight="0" orientation="landscape" r:id="rId1"/>
  <headerFooter>
    <oddFooter>&amp;C&amp;P of &amp;N&amp;R&amp;F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Title</vt:lpstr>
      <vt:lpstr>Estimate</vt:lpstr>
      <vt:lpstr>B&amp;G</vt:lpstr>
      <vt:lpstr>Rate</vt:lpstr>
      <vt:lpstr>_sch_Mech_Wks</vt:lpstr>
      <vt:lpstr>OAMonths</vt:lpstr>
      <vt:lpstr>Estimate!Print_Area</vt:lpstr>
      <vt:lpstr>Estimate!Print_Titles</vt:lpstr>
      <vt:lpstr>rentFact</vt:lpstr>
      <vt:lpstr>sch_Mech_Mo</vt:lpstr>
      <vt:lpstr>sch_Mob_Demob_Mo</vt:lpstr>
      <vt:lpstr>Work_Hr_Mo</vt:lpstr>
    </vt:vector>
  </TitlesOfParts>
  <Company>Richard Construction,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Estimate Sheet</dc:title>
  <dc:creator>Jerry Bolenbaucher</dc:creator>
  <cp:keywords>Version 84, 2024-07-09</cp:keywords>
  <dc:description>cleaned up</dc:description>
  <cp:lastModifiedBy>Mary Sciple</cp:lastModifiedBy>
  <cp:lastPrinted>2024-07-01T14:54:31Z</cp:lastPrinted>
  <dcterms:created xsi:type="dcterms:W3CDTF">2006-04-11T20:08:43Z</dcterms:created>
  <dcterms:modified xsi:type="dcterms:W3CDTF">2024-07-15T02:14:10Z</dcterms:modified>
</cp:coreProperties>
</file>